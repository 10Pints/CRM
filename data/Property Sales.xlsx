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1680"/>
  </bookViews>
  <sheets>
    <sheet name="Resort Sale" sheetId="1" r:id="rId1"/>
    <sheet name="Transactions" sheetId="2" r:id="rId2"/>
    <sheet name="Lists" sheetId="3" r:id="rId3"/>
    <sheet name="Mati House" sheetId="4" r:id="rId4"/>
    <sheet name="Resort Sale Lamaudi" sheetId="5" r:id="rId5"/>
    <sheet name="Agnt Com for Res" sheetId="6" r:id="rId6"/>
    <sheet name="Agents Archive" sheetId="7" r:id="rId7"/>
    <sheet name="Filipino societies abroad" sheetId="8" r:id="rId8"/>
    <sheet name="Foreign Agencies" sheetId="9" r:id="rId9"/>
    <sheet name="US Filipino demographics" sheetId="10" r:id="rId10"/>
    <sheet name="Resort sale action Plan" sheetId="11" r:id="rId11"/>
  </sheets>
  <definedNames>
    <definedName name="_xlnm._FilterDatabase" localSheetId="7" hidden="1">'Filipino societies abroad'!$A$1:$AH$156</definedName>
    <definedName name="DelegateAlias">Lists!$B$3:$C$8</definedName>
    <definedName name="Country">Lists!$A$3:$A$27</definedName>
    <definedName name="Area">Lists!$E$3:$E$9</definedName>
    <definedName name="Status">Lists!$D$3:$D$41</definedName>
    <definedName name="Type">Lists!$F$3:$F$15</definedName>
    <definedName name="Alias">Lists!$C$3:$C$8</definedName>
    <definedName name="Agency">'Resort Sale'!$A$2:$A$98</definedName>
    <definedName name="NamedRange1">Lists!$F$3:$F$15</definedName>
    <definedName name="Delegate">Lists!$B$3:$B$8</definedName>
    <definedName name="Action">Lists!$G$3:$G$32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<sst xmlns="http://schemas.openxmlformats.org/spreadsheetml/2006/main" count="2726" uniqueCount="1341">
  <si>
    <t>Agency</t>
  </si>
  <si>
    <t>Type</t>
  </si>
  <si>
    <t>Area</t>
  </si>
  <si>
    <t>Delegate</t>
  </si>
  <si>
    <t>Status</t>
  </si>
  <si>
    <t>Sept 2</t>
  </si>
  <si>
    <t>Notes</t>
  </si>
  <si>
    <t>Quality</t>
  </si>
  <si>
    <t>Contact nm</t>
  </si>
  <si>
    <t>role</t>
  </si>
  <si>
    <t>phone</t>
  </si>
  <si>
    <t>preferred contact method</t>
  </si>
  <si>
    <t>email</t>
  </si>
  <si>
    <t>WhatsApp</t>
  </si>
  <si>
    <t>viber</t>
  </si>
  <si>
    <t>facebook</t>
  </si>
  <si>
    <t>messenger</t>
  </si>
  <si>
    <t>website</t>
  </si>
  <si>
    <t>Address</t>
  </si>
  <si>
    <t>Notes_2</t>
  </si>
  <si>
    <t>Old Notes</t>
  </si>
  <si>
    <t>date 1</t>
  </si>
  <si>
    <t>Actions 08-OCT</t>
  </si>
  <si>
    <t>Action By dt</t>
  </si>
  <si>
    <t>Replied</t>
  </si>
  <si>
    <t>History</t>
  </si>
  <si>
    <t>0961 168 9267</t>
  </si>
  <si>
    <t>Direct LAM</t>
  </si>
  <si>
    <t>T</t>
  </si>
  <si>
    <t>Cannot be reached</t>
  </si>
  <si>
    <t>0997 728 9069</t>
  </si>
  <si>
    <t>Agent</t>
  </si>
  <si>
    <t>Keen contact rang 6 times 13 Jul 2025 and chatted to Noemi then nothing, gay</t>
  </si>
  <si>
    <t>Allea Real Estate</t>
  </si>
  <si>
    <t>Broker</t>
  </si>
  <si>
    <t>Davao</t>
  </si>
  <si>
    <t>Sent details (g-share)</t>
  </si>
  <si>
    <t>msgd</t>
  </si>
  <si>
    <t xml:space="preserve">Maam Lea, Jason </t>
  </si>
  <si>
    <t>082 293 9685,0920 953 4485</t>
  </si>
  <si>
    <t>Whtsapp: +63 925 819 9599
viber same</t>
  </si>
  <si>
    <t>Not answer phone, emailed</t>
  </si>
  <si>
    <t>emailed</t>
  </si>
  <si>
    <t>18-Jan: called, sent link, 09-Jan sent photo link</t>
  </si>
  <si>
    <t>Apolonio &amp; Geonzon</t>
  </si>
  <si>
    <t>Alma Adolonio</t>
  </si>
  <si>
    <t>0917 773 5178</t>
  </si>
  <si>
    <t>https://apolonioandgeonzonrealty.com/</t>
  </si>
  <si>
    <t>msgd 24-jun</t>
  </si>
  <si>
    <t>24-Jun: apathy here  messaged, got reply</t>
  </si>
  <si>
    <t>18-Jan: no reply, 09-Jan: Sent pics share</t>
  </si>
  <si>
    <t>Arnel Maco</t>
  </si>
  <si>
    <t>0921 314 6424</t>
  </si>
  <si>
    <t>Bachelors Realty</t>
  </si>
  <si>
    <t>Accepted</t>
  </si>
  <si>
    <t>Fatimah Karim</t>
  </si>
  <si>
    <t>0928 588 8655</t>
  </si>
  <si>
    <t>Muslim, ask Noemi to arrange visit as Fatima got nosebleed</t>
  </si>
  <si>
    <t>18-Jan: dubious, 09-Jan messaged</t>
  </si>
  <si>
    <t>Bank: Bdo Unibank</t>
  </si>
  <si>
    <t>Bank</t>
  </si>
  <si>
    <t>Mati</t>
  </si>
  <si>
    <t>250829: talked person to person with the manager</t>
  </si>
  <si>
    <t>M. Ortiz Street, Brgy. Centra</t>
  </si>
  <si>
    <t>Bank BPI, Mati</t>
  </si>
  <si>
    <t xml:space="preserve">250829: msg: FB contact </t>
  </si>
  <si>
    <t>Al Palabrica</t>
  </si>
  <si>
    <t>0945 418 1799</t>
  </si>
  <si>
    <t>National Highway, Brgy. Central (in front of the City Plaza)</t>
  </si>
  <si>
    <t>Bank: Cantilan Bank, Mati</t>
  </si>
  <si>
    <t>M. Ortiz Street, Brgy. Central</t>
  </si>
  <si>
    <t>Bank: China Bank, Mati</t>
  </si>
  <si>
    <t>Bank: City Savings, Mati</t>
  </si>
  <si>
    <t>250829: talked person to person with the representative</t>
  </si>
  <si>
    <t>Bank: DBP Development Bank of the Philippines, Mati</t>
  </si>
  <si>
    <t>Jane Juico</t>
  </si>
  <si>
    <t>0908 864 8929</t>
  </si>
  <si>
    <t>Datu Martin Marundan Building, National Highway, Brgy. Central</t>
  </si>
  <si>
    <t>Bank: East West, Mati</t>
  </si>
  <si>
    <t>Mischel N. Ordinez</t>
  </si>
  <si>
    <t>0917 312 4608</t>
  </si>
  <si>
    <t>Bank: First Valley Bank</t>
  </si>
  <si>
    <t>Bank: Landbank</t>
  </si>
  <si>
    <t>250829: sent share using txt</t>
  </si>
  <si>
    <t>Rick Venus</t>
  </si>
  <si>
    <t>0919 516 8348</t>
  </si>
  <si>
    <t>Bonifacio Street, Brgy. Central (near the City Hall)</t>
  </si>
  <si>
    <t>Bank: Metropolitan Bank &amp; Trust Company (Metrobank), Mati</t>
  </si>
  <si>
    <t>OS</t>
  </si>
  <si>
    <t>National Highway, Brgy. Central</t>
  </si>
  <si>
    <t>Bank: PNB</t>
  </si>
  <si>
    <t>KitKit Pujau</t>
  </si>
  <si>
    <t>0908 691 0084</t>
  </si>
  <si>
    <t>Zamora Street, Brgy. Central</t>
  </si>
  <si>
    <t>Bank: Security, Mati</t>
  </si>
  <si>
    <t>Seck Daniles</t>
  </si>
  <si>
    <t>0917 533 9293</t>
  </si>
  <si>
    <t>Beverly Agent:  Allea Real Estate</t>
  </si>
  <si>
    <t>N</t>
  </si>
  <si>
    <t>Beverly</t>
  </si>
  <si>
    <t>0951 824 7043</t>
  </si>
  <si>
    <t>https://www.facebook.com/messages/e2ee/t/8142342699162830</t>
  </si>
  <si>
    <t>Spoke already</t>
  </si>
  <si>
    <t>text</t>
  </si>
  <si>
    <t>cannot be reached</t>
  </si>
  <si>
    <t xml:space="preserve">18-Jan: , </t>
  </si>
  <si>
    <t>Callao Soriano Realty</t>
  </si>
  <si>
    <t>Laurice Soriano,Miriam Miss Yummy</t>
  </si>
  <si>
    <t>0922 842 0898</t>
  </si>
  <si>
    <t>HT Realty Philippines (Hornijas-Tobias Realty &amp; Co.)</t>
  </si>
  <si>
    <t>sounds interested, await email</t>
  </si>
  <si>
    <t>msg via landline?</t>
  </si>
  <si>
    <t>Yummy will call back today</t>
  </si>
  <si>
    <t>18-Jan: tried to call, 09-Jan messaged</t>
  </si>
  <si>
    <t>Carl Jan Solatre: Gym Guy</t>
  </si>
  <si>
    <t>Active</t>
  </si>
  <si>
    <t>Got a prospect Sep 3</t>
  </si>
  <si>
    <t>Carl Solatre</t>
  </si>
  <si>
    <t>0951 416 3214, 0951 416 3214</t>
  </si>
  <si>
    <t>cannot put a for sale sign on the bend at the scum rd</t>
  </si>
  <si>
    <t>meet today</t>
  </si>
  <si>
    <t>C.G Torefiel Realty and Associates - DAVAO</t>
  </si>
  <si>
    <t>Contacted 1</t>
  </si>
  <si>
    <t>on FB</t>
  </si>
  <si>
    <t>Rolly Gempesao</t>
  </si>
  <si>
    <t>0925 709 6251 ,0925 709 62513</t>
  </si>
  <si>
    <t xml:space="preserve">
cha_torefiel@yahoo.com</t>
  </si>
  <si>
    <t xml:space="preserve">0925 709 6251 </t>
  </si>
  <si>
    <t>https://www.facebook.com/cgtrealty/#</t>
  </si>
  <si>
    <t>Dakbayan Realty  Davao City Property.com</t>
  </si>
  <si>
    <t>Msgd Web</t>
  </si>
  <si>
    <t xml:space="preserve">contacted and sent detailsL: good guy </t>
  </si>
  <si>
    <t>Maam Salve,Donato Esparago,Raul G Anuda,Iffel</t>
  </si>
  <si>
    <t xml:space="preserve">082 273 2335,0917 300 5022,0922 439 4959,0923 749 0555,0997 644 3138,082 298 9628 </t>
  </si>
  <si>
    <t>don.esparrago@dakbayan.ph</t>
  </si>
  <si>
    <t xml:space="preserve">WhatsApp : 0995 610 6055 
FB: Raul G. Anuada </t>
  </si>
  <si>
    <t>https://www.facebook.com/raul.g.anuada</t>
  </si>
  <si>
    <t>DavaoCityProperty.com</t>
  </si>
  <si>
    <t>https://www.facebook.com/DakbayanRealty/?locale=sv_SE
https://www.dakbayan.ph/</t>
  </si>
  <si>
    <t xml:space="preserve">Galilea St, Buhangin, 
Davao City 
</t>
  </si>
  <si>
    <t>13-Jan: messagedmessaged Certified International Property Specialist Designee, e-PRO®, Pricing Strategy Advisor, Accredited Buyer's Representative Designee</t>
  </si>
  <si>
    <t>y</t>
  </si>
  <si>
    <t>18-Jan: messaged, and on FB, 09-Jan messaged</t>
  </si>
  <si>
    <t>Dan Dano</t>
  </si>
  <si>
    <t xml:space="preserve">Maam Iffel: </t>
  </si>
  <si>
    <t>visited 23 Jan, good</t>
  </si>
  <si>
    <t xml:space="preserve">Dante Martin Jose </t>
  </si>
  <si>
    <t>Other</t>
  </si>
  <si>
    <t>https://www.facebook.com/messages/e2ee/t/7544486862299192</t>
  </si>
  <si>
    <t>Davao House and Lot</t>
  </si>
  <si>
    <t>Msgd Whatspp</t>
  </si>
  <si>
    <t>Raul Anuada</t>
  </si>
  <si>
    <t>0928 814 0331 ,0995 610 6055,082 225 1741</t>
  </si>
  <si>
    <t>0995 610 6055</t>
  </si>
  <si>
    <r>
      <rPr>
        <u/>
        <sz val="6"/>
        <color rgb="FF1155CC"/>
        <rFont val="Arial"/>
        <charset val="134"/>
      </rPr>
      <t xml:space="preserve">https://davaohouselot.com/mati-real-estate-broker/
</t>
    </r>
    <r>
      <rPr>
        <sz val="6"/>
        <rFont val="Arial"/>
        <charset val="134"/>
      </rPr>
      <t>www.condodavao.com</t>
    </r>
  </si>
  <si>
    <t>v good agent I think</t>
  </si>
  <si>
    <t>Davao Property &amp; Realty</t>
  </si>
  <si>
    <t>Phoned</t>
  </si>
  <si>
    <t>no reply to my msgs - maybe wrong phone?</t>
  </si>
  <si>
    <t>Francis</t>
  </si>
  <si>
    <t>0943 539 0365</t>
  </si>
  <si>
    <t>https://www.facebook.com/DavaoPropertyRealty/
https://www.facebook.com/davaopropertyportal8/</t>
  </si>
  <si>
    <t>https://www.facebook.com/DavaoPropertyRealty/</t>
  </si>
  <si>
    <t>Interested</t>
  </si>
  <si>
    <t>messaged</t>
  </si>
  <si>
    <t>18-Jan: will txt email, 09-Jan messaged</t>
  </si>
  <si>
    <t>Davao Property Finder</t>
  </si>
  <si>
    <t>Mark Tobias</t>
  </si>
  <si>
    <t>082 291 0521,0925 819 9599</t>
  </si>
  <si>
    <t>info@davaopropertyfinder.com</t>
  </si>
  <si>
    <t>0925 819 9599</t>
  </si>
  <si>
    <t xml:space="preserve">Mark to call me </t>
  </si>
  <si>
    <t>tried to call</t>
  </si>
  <si>
    <t>18-Jan: sent share, 09-Jan:</t>
  </si>
  <si>
    <t>Davao Property Portal</t>
  </si>
  <si>
    <t>msgd WhatsApp</t>
  </si>
  <si>
    <t>tried on whats app call no reply</t>
  </si>
  <si>
    <t xml:space="preserve">Maricel Galvez Dominguez </t>
  </si>
  <si>
    <t xml:space="preserve">0953 184 4448 </t>
  </si>
  <si>
    <t>realtordominguez@gmail.com</t>
  </si>
  <si>
    <t xml:space="preserve">
https://www.messenger.com/e2ee/t/9748301158532840/</t>
  </si>
  <si>
    <t>https://www.facebook.com/davaopropertyportal/</t>
  </si>
  <si>
    <t>Davao Property Providers.PH (1)</t>
  </si>
  <si>
    <t>??</t>
  </si>
  <si>
    <t>does not reply to messages and quick to go to engaged</t>
  </si>
  <si>
    <t>Annalieh Flores</t>
  </si>
  <si>
    <t>0995 889 6413,0909 570 2554,0923-913-0572</t>
  </si>
  <si>
    <t>txtd asking for fb etc,emailed</t>
  </si>
  <si>
    <t>Davao Property Providers.PH (2)</t>
  </si>
  <si>
    <t>Tagum</t>
  </si>
  <si>
    <t>Msgd 2</t>
  </si>
  <si>
    <t>contacted by ll and email await response, bad email, ask for good one and phone</t>
  </si>
  <si>
    <t xml:space="preserve">Emily, Ann Charlotte Tejero </t>
  </si>
  <si>
    <t>082 295 0485,0925 700 6772</t>
  </si>
  <si>
    <t>https://propertyproviders.ph/pioneers/</t>
  </si>
  <si>
    <t>see above</t>
  </si>
  <si>
    <t>18-Jan: messaged, 09-Jan messaged</t>
  </si>
  <si>
    <t>Davao Property Solutions Realty Services</t>
  </si>
  <si>
    <t>Shella Mae Cortes</t>
  </si>
  <si>
    <t>0917 312 8263,0917 143 8263</t>
  </si>
  <si>
    <t>no whats app</t>
  </si>
  <si>
    <t>https://www.facebook.com/davaopropertysolutions/</t>
  </si>
  <si>
    <t>www.davaopropertysolutions.com</t>
  </si>
  <si>
    <t>does not reply well</t>
  </si>
  <si>
    <t>sent links to photos , asking for details</t>
  </si>
  <si>
    <t>txt</t>
  </si>
  <si>
    <t>18-Jan: replied, 18-Jan: sent links to photos , asking for details</t>
  </si>
  <si>
    <t>DMCI Homes</t>
  </si>
  <si>
    <t>Msgd Viber</t>
  </si>
  <si>
    <t>Mr Verdon Arabella,Mrs Verdon Arabella,Jayson Salva</t>
  </si>
  <si>
    <t xml:space="preserve">0917 8115268: incor,028 555 7700,082 297 0447
</t>
  </si>
  <si>
    <t xml:space="preserve">0918 9183456 </t>
  </si>
  <si>
    <t>https://www.dmcihomes.com/</t>
  </si>
  <si>
    <t>3H2X+F47, 
Ecoland Dr, Talomo, 
Davao City</t>
  </si>
  <si>
    <t>Use facebook, sent shjare</t>
  </si>
  <si>
    <t>Evelyn Garcia</t>
  </si>
  <si>
    <t>0995 575 0097</t>
  </si>
  <si>
    <t>phoned she will send her email</t>
  </si>
  <si>
    <t>Ferdinand</t>
  </si>
  <si>
    <t>Direct</t>
  </si>
  <si>
    <t>Aug 21: msgd with ideas for rebuild 13-June visit</t>
  </si>
  <si>
    <t>0997 867 499</t>
  </si>
  <si>
    <t>Ferlyn</t>
  </si>
  <si>
    <t>https://www.facebook.com/beautyferl?mibextid=ZbWKwL</t>
  </si>
  <si>
    <t>Fernando Chappelle</t>
  </si>
  <si>
    <t>USA</t>
  </si>
  <si>
    <t xml:space="preserve">1 (803) 237-0922
</t>
  </si>
  <si>
    <t>Fuji Realty</t>
  </si>
  <si>
    <t>0917 312 8263</t>
  </si>
  <si>
    <t>fujirealtyph@gmail.com</t>
  </si>
  <si>
    <t>https://www.facebook.com/FujiRealtyAndDevelopmentCorporation/</t>
  </si>
  <si>
    <t>fujirealtydavao.com</t>
  </si>
  <si>
    <t>Grace</t>
  </si>
  <si>
    <t>arranged viewing for Sunday Feb 02. 2025</t>
  </si>
  <si>
    <t>House of Musa</t>
  </si>
  <si>
    <t>0917 636 5837</t>
  </si>
  <si>
    <t>https://www.facebook.com/tissueculturebanana/</t>
  </si>
  <si>
    <t>https://www.facebook.com/messages/t/635053346628851</t>
  </si>
  <si>
    <t>HT Realty</t>
  </si>
  <si>
    <t>Mark Oliver Tobias</t>
  </si>
  <si>
    <t>082 291 0521,0933 861 8808,0925 819 9599</t>
  </si>
  <si>
    <t>Viber</t>
  </si>
  <si>
    <t>https://www.facebook.com/HTRealtyPhilippines</t>
  </si>
  <si>
    <t>https://htrealty.ph/</t>
  </si>
  <si>
    <t>Will txt their email to me</t>
  </si>
  <si>
    <t>18-Jan: he will txt gmail, 09-Jan:</t>
  </si>
  <si>
    <t>JM Realty Co. Ltd.</t>
  </si>
  <si>
    <t>Dead</t>
  </si>
  <si>
    <t>SCAM</t>
  </si>
  <si>
    <t>Joy Navales</t>
  </si>
  <si>
    <t>Julie Gilbert</t>
  </si>
  <si>
    <t>Visited Not Interested</t>
  </si>
  <si>
    <t>msgd: wants more info</t>
  </si>
  <si>
    <t>ahh - may be - I send her a plan</t>
  </si>
  <si>
    <t>gilbertjuly88@gmail.com</t>
  </si>
  <si>
    <t>Junn Gamalong</t>
  </si>
  <si>
    <t>0955 778 8761</t>
  </si>
  <si>
    <t>/emailed</t>
  </si>
  <si>
    <t>Khem Arellano</t>
  </si>
  <si>
    <t>Tried msg on sep 3 2025, by phone then on their web site on the 8th, part ot https://www.propertybroker.ph/</t>
  </si>
  <si>
    <t>0932 579 4471</t>
  </si>
  <si>
    <t>kimarellano78@yahoo.com</t>
  </si>
  <si>
    <t>https://www.facebook.com/KhemArellanoRES</t>
  </si>
  <si>
    <t>Kore Real Estate</t>
  </si>
  <si>
    <t>sent  taster</t>
  </si>
  <si>
    <t>Lorena Magdasal</t>
  </si>
  <si>
    <t>0917 701 8938</t>
  </si>
  <si>
    <t>https://www.facebook.com/magdasalrealty/</t>
  </si>
  <si>
    <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t>
  </si>
  <si>
    <t>she is awkward</t>
  </si>
  <si>
    <t>messaged, send share</t>
  </si>
  <si>
    <t>Lacia Realty &amp; Appraisal Firm</t>
  </si>
  <si>
    <t>084 216 5834,0995 079 4117,0916 537 6435</t>
  </si>
  <si>
    <t>https://www.facebook.com/LaciaRealty/</t>
  </si>
  <si>
    <t>Door 16, Rizal Street Boja Arcade</t>
  </si>
  <si>
    <t>Marie</t>
  </si>
  <si>
    <t>End</t>
  </si>
  <si>
    <t>0947 649 9919</t>
  </si>
  <si>
    <t>cstrmmc@gmail.com</t>
  </si>
  <si>
    <t>Mati Locator</t>
  </si>
  <si>
    <t>Got clients</t>
  </si>
  <si>
    <t xml:space="preserve">   </t>
  </si>
  <si>
    <t>N is chatting every day</t>
  </si>
  <si>
    <t>Mati Real Estate</t>
  </si>
  <si>
    <t>0917 132 1705,0961 941 2635</t>
  </si>
  <si>
    <t>0917 132 1705</t>
  </si>
  <si>
    <t>https://m.facebook.com/p/Mati-Real-Estate-100063533635462/</t>
  </si>
  <si>
    <t>https://www.facebook.com/messages/t/1664868126961377</t>
  </si>
  <si>
    <t>emailed/replied/scheduiled meet 25 Jan 2025</t>
  </si>
  <si>
    <t>18-Jan: Messaged, 09-Jan messaged</t>
  </si>
  <si>
    <t>MDA Dream Realty &amp; Brokerage</t>
  </si>
  <si>
    <t>Nearly dead</t>
  </si>
  <si>
    <t>0936 892 2275,0909 950 5725,0909 950 5725,082 287 6869</t>
  </si>
  <si>
    <t>0909 950 5725</t>
  </si>
  <si>
    <t>in DVO - referred us to her friend in Mati</t>
  </si>
  <si>
    <t>Will call back - never did</t>
  </si>
  <si>
    <t>18-Jan: Will call back, 09-Jan messaged</t>
  </si>
  <si>
    <t xml:space="preserve">Angangan - Capili Realty and Brokerage </t>
  </si>
  <si>
    <t>Await email txt</t>
  </si>
  <si>
    <t>msgd, responded</t>
  </si>
  <si>
    <t>licensed real estate broker based in Davao</t>
  </si>
  <si>
    <t xml:space="preserve">Melanny Angangan, </t>
  </si>
  <si>
    <t>0912 639 7316,0917 624 7385</t>
  </si>
  <si>
    <t>melanny@acrbproperties.com</t>
  </si>
  <si>
    <t>no</t>
  </si>
  <si>
    <t>https://www.facebook.com/MelannyAnganganREB</t>
  </si>
  <si>
    <t>https://www.facebook.com/messages/t/747919861957571</t>
  </si>
  <si>
    <t>https://www.acrbproperties.com/</t>
  </si>
  <si>
    <t>asked about price</t>
  </si>
  <si>
    <t>No answer</t>
  </si>
  <si>
    <t>Doing exam - will txt back for visit next week</t>
  </si>
  <si>
    <t>18-Jan: No answer, 09-Jan messaged</t>
  </si>
  <si>
    <t>Mellissa David</t>
  </si>
  <si>
    <t>names: Melissa Francesco, Reham Francisco</t>
  </si>
  <si>
    <t>reham.francisco</t>
  </si>
  <si>
    <t>https://www.facebook.com/messages/e2ee/t/9253871861341922</t>
  </si>
  <si>
    <t>Mirafer Fernandez</t>
  </si>
  <si>
    <t>0991 224 6892</t>
  </si>
  <si>
    <t>https://www.facebook.com/mirafer.fernandez.2024/</t>
  </si>
  <si>
    <t>msg</t>
  </si>
  <si>
    <t>18-Jan: Cannot be reach, 09-Jan messaged</t>
  </si>
  <si>
    <t>Misa Real Estates</t>
  </si>
  <si>
    <t>0912 203 6093</t>
  </si>
  <si>
    <t>MJL Property Solutions</t>
  </si>
  <si>
    <t>Marco Caliat Pelayo</t>
  </si>
  <si>
    <t>0917 626 5837</t>
  </si>
  <si>
    <t>https://www.messenger.com/e2ee/t/7742729382478496</t>
  </si>
  <si>
    <t>Nanay Vicky</t>
  </si>
  <si>
    <t>0951 655 3203,0926 765 3009</t>
  </si>
  <si>
    <t>Nicko John Socubus</t>
  </si>
  <si>
    <t>https://www.facebook.com/rosedale.raiden.7</t>
  </si>
  <si>
    <t xml:space="preserve">Ofelia Godoyon Tago-on </t>
  </si>
  <si>
    <t>Friend of Raxie Laygan</t>
  </si>
  <si>
    <t>https://web.facebook.com/jiar.basyo#</t>
  </si>
  <si>
    <t>https://www.messenger.com/e2ee/t/8026314247429525</t>
  </si>
  <si>
    <t>Pastor Danny</t>
  </si>
  <si>
    <t>Manila</t>
  </si>
  <si>
    <t>https://www.facebook.com/danny.gaede</t>
  </si>
  <si>
    <t>Asked Noemi to follow up</t>
  </si>
  <si>
    <t>Philipino Homes.com</t>
  </si>
  <si>
    <t>Joan Rodicol</t>
  </si>
  <si>
    <t>0917 108 3845</t>
  </si>
  <si>
    <t>https://www.facebook.com/leoluis.navarro?mibextid=ZbWKwL</t>
  </si>
  <si>
    <t>very good</t>
  </si>
  <si>
    <t>has prspect, tet to view</t>
  </si>
  <si>
    <t>Pinoy Estate Realtors</t>
  </si>
  <si>
    <t>Reah Salac,Luis Navarro</t>
  </si>
  <si>
    <t>0995 889 6413,0923 913 0572,0947 752 7261,0945 413 9960,0945 620 2059</t>
  </si>
  <si>
    <t>0947 752 7261</t>
  </si>
  <si>
    <t>https://www.facebook.com/permalink.php/?story_fbid=102997225544310&amp;id=102918528885513</t>
  </si>
  <si>
    <t>Conchita Ong Sainz, Mati</t>
  </si>
  <si>
    <t>Noemi's own biz</t>
  </si>
  <si>
    <t>Platinum Realty Brokerage</t>
  </si>
  <si>
    <t>Maria A Naugalac</t>
  </si>
  <si>
    <t>0946 589 6198</t>
  </si>
  <si>
    <t>https://www.facebook.com/p/Platinum-Realty-Brokerage-61561977923251/</t>
  </si>
  <si>
    <t>https://www.facebook.com/messages/t/361607417037213</t>
  </si>
  <si>
    <t>Primabode Realty - Davao</t>
  </si>
  <si>
    <t>Ann Charlotte Tejero,Reah Salac</t>
  </si>
  <si>
    <t>0945 620 2059,0925 721 6089</t>
  </si>
  <si>
    <t xml:space="preserve">https://www.facebook.com/PrimabodeDavao </t>
  </si>
  <si>
    <t>contacted , sent google shares for house and resort</t>
  </si>
  <si>
    <t>Prince Dior Sepe</t>
  </si>
  <si>
    <t>0981 361 1705</t>
  </si>
  <si>
    <t>https://www.facebook.com/princedior.sepe</t>
  </si>
  <si>
    <t>msgd about house</t>
  </si>
  <si>
    <t>Propertier.PH</t>
  </si>
  <si>
    <t>Msgd</t>
  </si>
  <si>
    <t>emailed as number ofor teh founder does not seem to work</t>
  </si>
  <si>
    <t xml:space="preserve">Arthur Mancera Gonzales: Founding Director Broker,
Jaz Raquiza Mendros: Founding Director Broker,
Flordeliez Solito Lopez: Senior Associate 0935 232 0613, 0912 215 2655,
Bless Young Magsambol: 0909 991 2000,
Jay Talines Mangaliwan: Associate 0907 105 9093,
</t>
  </si>
  <si>
    <t xml:space="preserve">Arthur Mancera Gonzales: Founding Director Broker,
Jaz Raquiza Mendros: Founding Director Broker,
Flordeliez Solito Lopez: Senior Associate
Jay Talines Mangaliwan: Associate
</t>
  </si>
  <si>
    <t>Flordeliez Solito Lopez:0935  232  0613,0912  215  2655;
Bless Young Magsambol : 0909  991  2000;
Jay Talines Mangaliwan: 0907  105  9093;</t>
  </si>
  <si>
    <t xml:space="preserve">Arthur Mancera Gonzales Founding Director:  arthurgonzales@propertier.ph
jazmendros@propertier.ph
michellezafico@propertier.ph
flordeliezlopez@propertier.ph
blessiemagsambol@propertier.ph
jaymangaliwan@propertier.ph
</t>
  </si>
  <si>
    <t>https://www.propertier.ph/</t>
  </si>
  <si>
    <t>Property Seeker Realty</t>
  </si>
  <si>
    <t>0977 850 6749</t>
  </si>
  <si>
    <t>https://www.facebook.com/propertyseekerrealty</t>
  </si>
  <si>
    <t>https://www.propseekerrealty.com/</t>
  </si>
  <si>
    <t>PropertyBroker.PH Corporation</t>
  </si>
  <si>
    <t>09079268813,0920 919 0358</t>
  </si>
  <si>
    <t>https://www.propertybroker.ph/</t>
  </si>
  <si>
    <t>Out of coverage area</t>
  </si>
  <si>
    <t>Raxie Laygan</t>
  </si>
  <si>
    <t>Friend of Ofelia Godoyon Tago-on, posive this time meet sunday 5pm</t>
  </si>
  <si>
    <t>0955 509 5779</t>
  </si>
  <si>
    <t>https://www.messenger.com/e2ee/t/9955794257877020</t>
  </si>
  <si>
    <t>Rhea Perrez</t>
  </si>
  <si>
    <t>https://www.facebook.com/rhea.perez.31392</t>
  </si>
  <si>
    <t>RC Realty and Brokerage</t>
  </si>
  <si>
    <t>Richard Cua</t>
  </si>
  <si>
    <t xml:space="preserve">
0922 824 0625,0917 309 1725</t>
  </si>
  <si>
    <t>0922 824 0625</t>
  </si>
  <si>
    <t>https://www.facebook.com/rcrealtyandbrokerage</t>
  </si>
  <si>
    <t>https://www.facebook.com/messages/t/439672376056987</t>
  </si>
  <si>
    <t>https://www.facebook.com/rcrealtyandbrokerage/</t>
  </si>
  <si>
    <t>Serves Tagum, Davao City &amp; Samal island</t>
  </si>
  <si>
    <t>RE/MAX Realty</t>
  </si>
  <si>
    <t>0906 328 5313,0917 634 0350</t>
  </si>
  <si>
    <t>tried caling various times</t>
  </si>
  <si>
    <t>No answer/Leave messaged</t>
  </si>
  <si>
    <t>Realty Davao</t>
  </si>
  <si>
    <t>Gay Shiela Dicon</t>
  </si>
  <si>
    <t>0932 887 8456</t>
  </si>
  <si>
    <t>Very good</t>
  </si>
  <si>
    <t>Spoke already/Add on FB</t>
  </si>
  <si>
    <t>Richard Baptisita</t>
  </si>
  <si>
    <t xml:space="preserve">Richard is our freelance agent for government documentation  </t>
  </si>
  <si>
    <t>https://www.messenger.com/e2ee/t/759745700083577</t>
  </si>
  <si>
    <t>RME Russel Realty</t>
  </si>
  <si>
    <t>Msgd FB</t>
  </si>
  <si>
    <t xml:space="preserve">
0977 846 9170,0947 373 6630</t>
  </si>
  <si>
    <t>https://www.facebook.com/RMERUSSELREALTY/</t>
  </si>
  <si>
    <t>txt msg also</t>
  </si>
  <si>
    <t>will get back to me Sat night 20 Jan about schedule for meet</t>
  </si>
  <si>
    <t>0932 887 8456
viber same: 0932 887 8456</t>
  </si>
  <si>
    <t>18-Jan: will get back to us, after driving, 09-Jan: Meet next week</t>
  </si>
  <si>
    <t xml:space="preserve">Russ Normandia </t>
  </si>
  <si>
    <t>Russel is selling his own property, but mmay be he can sell ours</t>
  </si>
  <si>
    <t>Ruzen Real Estate Services, Inc.</t>
  </si>
  <si>
    <t>0966 488 1140</t>
  </si>
  <si>
    <t>CRP2+PCV, National Highway Second Floor, Dujali Bldg. II</t>
  </si>
  <si>
    <t>Salviminda Realty</t>
  </si>
  <si>
    <t>0925 896 3031,0925 896 3031</t>
  </si>
  <si>
    <t xml:space="preserve">salvimindarealty.com </t>
  </si>
  <si>
    <t>Felcris Centrale Quimpo Boulevard 6th Floor</t>
  </si>
  <si>
    <t>Sir Dante Abad, Cadanlahan</t>
  </si>
  <si>
    <t>Hi Terri. I know that you incurred much for that property. Your price sounds reasonable (whether it's 11M or 13M) but from the point of of view of the buyer, he must be someone who has extra funds and can allow delayed ROI because I honestly think that our location is not ideal for a viable resort operation. 
I'm thinking of a buyer who would use it for a personal rest house and not for profitable business. I will not advise that you invest any further. Let the buyer develop it according to his pleasure.</t>
  </si>
  <si>
    <t>Dante Abad</t>
  </si>
  <si>
    <t>0917 701 4510</t>
  </si>
  <si>
    <t>dante6081@yahoo.com</t>
  </si>
  <si>
    <t>msgd price</t>
  </si>
  <si>
    <t>Sta. Lucia Realty</t>
  </si>
  <si>
    <t>082 224 1068</t>
  </si>
  <si>
    <t>https://www.facebook.com/stellarrealtyph/</t>
  </si>
  <si>
    <t>18-Jan: not worth the bother, 09-Jan:</t>
  </si>
  <si>
    <t>Stellar Realty PH</t>
  </si>
  <si>
    <t>Kelly T Maceren</t>
  </si>
  <si>
    <t>0908 527 1047</t>
  </si>
  <si>
    <t>https://www.facebook.com/keltaplac</t>
  </si>
  <si>
    <t>https://www.facebook.com/profile.php?id=100076220557970</t>
  </si>
  <si>
    <t>real estate developer</t>
  </si>
  <si>
    <t>Tagum Prime Properties</t>
  </si>
  <si>
    <t>Developer</t>
  </si>
  <si>
    <t>0991 648 0750,0917 309 1725,0922 824 0625</t>
  </si>
  <si>
    <t>rcrealtyph@gmail.com</t>
  </si>
  <si>
    <t>https://www.facebook.com/tgmprimeproperties</t>
  </si>
  <si>
    <t>https://www.facebook.com/messages/e2ee/t/7369231737450781828</t>
  </si>
  <si>
    <t>Purok 5, Mabini, Brgy. Canocotan</t>
  </si>
  <si>
    <t>Tita Ai and Edina, Menzi church</t>
  </si>
  <si>
    <t>Bollocks</t>
  </si>
  <si>
    <t>Had 1 prospect but dont respond now</t>
  </si>
  <si>
    <t>skipped</t>
  </si>
  <si>
    <t>Villasor Realty &amp; Brokerage</t>
  </si>
  <si>
    <t>Will get back to me</t>
  </si>
  <si>
    <t>Beverly Moda?</t>
  </si>
  <si>
    <t>0916 415 7064</t>
  </si>
  <si>
    <t>https://www.facebook.com/messages/e2ee/t/1579425843028759</t>
  </si>
  <si>
    <t>Veronica Siblos / Nanay Vicky</t>
  </si>
  <si>
    <t>https://www.facebook.com/veronica.siblos#</t>
  </si>
  <si>
    <t>https://www.facebook.com/emilia.fajardo.pabilan</t>
  </si>
  <si>
    <t>Victory Realty</t>
  </si>
  <si>
    <t>Melz Fajardo Pabilan</t>
  </si>
  <si>
    <t>0948 162 8028</t>
  </si>
  <si>
    <t>emiliapabilan2019@gmail.com</t>
  </si>
  <si>
    <t>https://www.messenger.com/e2ee/t/9091214100958211</t>
  </si>
  <si>
    <t>Villocino Realty</t>
  </si>
  <si>
    <t>Adelyn D Villocino</t>
  </si>
  <si>
    <t>0977 803 2601</t>
  </si>
  <si>
    <t>https://www.facebook.com/villocinorealty/</t>
  </si>
  <si>
    <t>establishing FB contact</t>
  </si>
  <si>
    <t>18-Jan: replied, 09-Jan replied</t>
  </si>
  <si>
    <t>Vivian Caniva</t>
  </si>
  <si>
    <t>Vivian</t>
  </si>
  <si>
    <t>0935 358 2918</t>
  </si>
  <si>
    <t>https://www.facebook.com/vaceniza</t>
  </si>
  <si>
    <t>https://www.facebook.com/messages/e2ee/t/2182092612301923</t>
  </si>
  <si>
    <t>she has our property on her books from last time - and she says she spoke to Noemi</t>
  </si>
  <si>
    <t>she will txt email address</t>
  </si>
  <si>
    <t>18-Jan: chatted, 09-Jan messaged</t>
  </si>
  <si>
    <t xml:space="preserve">Whaka </t>
  </si>
  <si>
    <t>0945 783 0808</t>
  </si>
  <si>
    <t>MAORI.Kinakeleopotiki@gmail.COM</t>
  </si>
  <si>
    <t xml:space="preserve">https://www.messenger.com/e2ee/t/8060634060665609 </t>
  </si>
  <si>
    <t>Wilson Warner</t>
  </si>
  <si>
    <t>+1714 944 6579</t>
  </si>
  <si>
    <t>wawarnerii@gmail.com</t>
  </si>
  <si>
    <t>Thony and Charry</t>
  </si>
  <si>
    <t>Builder</t>
  </si>
  <si>
    <t>may know buyers, builders</t>
  </si>
  <si>
    <t>Charry Alivio</t>
  </si>
  <si>
    <t>https://www.facebook.com/messages/t/100001201376134</t>
  </si>
  <si>
    <t>agency</t>
  </si>
  <si>
    <t>date</t>
  </si>
  <si>
    <t>delegate</t>
  </si>
  <si>
    <t>action</t>
  </si>
  <si>
    <t>follow up action</t>
  </si>
  <si>
    <t>due date</t>
  </si>
  <si>
    <t>Terry</t>
  </si>
  <si>
    <t>difficult to get to reply</t>
  </si>
  <si>
    <t>Follow up</t>
  </si>
  <si>
    <t>tried to contact, left msg</t>
  </si>
  <si>
    <t>sent details</t>
  </si>
  <si>
    <t>Country</t>
  </si>
  <si>
    <t>Alias</t>
  </si>
  <si>
    <t>Action</t>
  </si>
  <si>
    <t>name</t>
  </si>
  <si>
    <t>alias</t>
  </si>
  <si>
    <t>Australia</t>
  </si>
  <si>
    <t>Noemi</t>
  </si>
  <si>
    <t>Canada</t>
  </si>
  <si>
    <t>tried to contact</t>
  </si>
  <si>
    <t>Germany</t>
  </si>
  <si>
    <t>Leonard</t>
  </si>
  <si>
    <t>L</t>
  </si>
  <si>
    <t>Advertised</t>
  </si>
  <si>
    <t>Japan</t>
  </si>
  <si>
    <t>Niko</t>
  </si>
  <si>
    <t>Ni</t>
  </si>
  <si>
    <t>Contacted</t>
  </si>
  <si>
    <t>UK</t>
  </si>
  <si>
    <t>No further action</t>
  </si>
  <si>
    <t>Contacted 2</t>
  </si>
  <si>
    <t>Phone</t>
  </si>
  <si>
    <t>Email</t>
  </si>
  <si>
    <t>Emailed</t>
  </si>
  <si>
    <t>Msg FB</t>
  </si>
  <si>
    <t>Engaged</t>
  </si>
  <si>
    <t>Msg WA</t>
  </si>
  <si>
    <t>Msg VBR</t>
  </si>
  <si>
    <t xml:space="preserve">Refer to </t>
  </si>
  <si>
    <t>Send Details</t>
  </si>
  <si>
    <t>Replied 1</t>
  </si>
  <si>
    <t>Subscriber cannot be reached</t>
  </si>
  <si>
    <t>Trying phone</t>
  </si>
  <si>
    <t>Arranged visit</t>
  </si>
  <si>
    <t>Visited</t>
  </si>
  <si>
    <t>Visited Interested</t>
  </si>
  <si>
    <t>Quality
1 is good</t>
  </si>
  <si>
    <t>Status
Jan 27 2025</t>
  </si>
  <si>
    <t>advised of com split</t>
  </si>
  <si>
    <t>DB /
messenger</t>
  </si>
  <si>
    <t>Alt phone</t>
  </si>
  <si>
    <t>Actions 12-sep</t>
  </si>
  <si>
    <t>Actions 18-Aug</t>
  </si>
  <si>
    <t>Old Status</t>
  </si>
  <si>
    <t>Visit</t>
  </si>
  <si>
    <t>HtRealty</t>
  </si>
  <si>
    <t>speaking on whatsApp</t>
  </si>
  <si>
    <t>Mark Sherwin Abao Tobias</t>
  </si>
  <si>
    <t>viber, whats app +63 925 819 9599</t>
  </si>
  <si>
    <t>info@htrealty.ph</t>
  </si>
  <si>
    <t>082 291 0521
0933 861 8808
0925 819 9599</t>
  </si>
  <si>
    <t>texted</t>
  </si>
  <si>
    <t>lea@davaoproperties.com</t>
  </si>
  <si>
    <t xml:space="preserve">082 293 9685 
</t>
  </si>
  <si>
    <t>0920 953 4485</t>
  </si>
  <si>
    <t>Allea Building, Santo Niño Village, Block 1 Lot 7 Maa Highway, Talomo, Davao City, 8000 Davao del Sur</t>
  </si>
  <si>
    <t>sent price 15.8M email</t>
  </si>
  <si>
    <t>number is incorrect</t>
  </si>
  <si>
    <t>msgd - did not reply to my last Jun 2024</t>
  </si>
  <si>
    <t>https://www.facebook.com/ApolonioandGeonzonRealtyDavaoCity/</t>
  </si>
  <si>
    <r>
      <rPr>
        <sz val="7"/>
        <color rgb="FF0202FF"/>
        <rFont val="Calibri"/>
        <charset val="134"/>
      </rPr>
      <t>davaoestateproperty@gmail.com</t>
    </r>
  </si>
  <si>
    <t>Ecoland Subdivision Basketball Court, 1st St, Talomo, Davao City, 8000 Davao del Sur</t>
  </si>
  <si>
    <t>Not interested</t>
  </si>
  <si>
    <t>msgd, msgd 1 year before not reply</t>
  </si>
  <si>
    <t>dlao4704@gmail.com</t>
  </si>
  <si>
    <t xml:space="preserve"> (Muslim)</t>
  </si>
  <si>
    <t>ask Noemi to arrange visit as Fatima got nosebleed</t>
  </si>
  <si>
    <t>get FB id from Noemi</t>
  </si>
  <si>
    <t>She will try. Fb friend already</t>
  </si>
  <si>
    <t>Beverly Agent</t>
  </si>
  <si>
    <t>sent price 15.8M txt msg</t>
  </si>
  <si>
    <t>await email via text</t>
  </si>
  <si>
    <t>...</t>
  </si>
  <si>
    <t>Laurice Soriano/ Miriam Miss Yummy</t>
  </si>
  <si>
    <t>csrealtyservices@yahoo.com;mpmn0715@gmail.com</t>
  </si>
  <si>
    <t>Miss Yummy: 0922 842 0898</t>
  </si>
  <si>
    <t>Not exist</t>
  </si>
  <si>
    <t>Dakbayan Realty</t>
  </si>
  <si>
    <t>Don Esparrago II
Iffel</t>
  </si>
  <si>
    <t>082 273 2335
0917 300 5022
0922 439 4959</t>
  </si>
  <si>
    <t>messaged Certified International Property Specialist Designee, e-PRO®, Pricing Strategy Advisor, Accredited Buyer's Representative Designee</t>
  </si>
  <si>
    <t xml:space="preserve">raulanuada@gmail.com </t>
  </si>
  <si>
    <t>0995 610 6055
(082) 2251741</t>
  </si>
  <si>
    <t>0928 814 0331 Smart 0995 610 6055 Globe</t>
  </si>
  <si>
    <r>
      <rPr>
        <u/>
        <sz val="7"/>
        <color rgb="FF1155CC"/>
        <rFont val="Calibri"/>
        <charset val="134"/>
      </rPr>
      <t xml:space="preserve">https://davaohouselot.com/mati-real-estate-broker/
</t>
    </r>
    <r>
      <rPr>
        <sz val="7"/>
        <rFont val="Calibri"/>
        <charset val="134"/>
      </rPr>
      <t>www.condodavao.com</t>
    </r>
  </si>
  <si>
    <t>fladarealty@gmail.com</t>
  </si>
  <si>
    <t>raulanuada@gmail.com</t>
  </si>
  <si>
    <t>082 291 0521
0925 819 9599</t>
  </si>
  <si>
    <t xml:space="preserve">Chase up COB </t>
  </si>
  <si>
    <t>Add Fb/ Chatted</t>
  </si>
  <si>
    <t>Davao City Property.com</t>
  </si>
  <si>
    <t>yes</t>
  </si>
  <si>
    <t>Maam Salve
Donato Esparago Estate Broker</t>
  </si>
  <si>
    <t>info@davaocityproperty.com,</t>
  </si>
  <si>
    <t xml:space="preserve">0923 749 0555  0997 644 3138 082 298 9628 </t>
  </si>
  <si>
    <t>0923 749 0555/ 0997 644 3138/ 0942 560 7172</t>
  </si>
  <si>
    <t xml:space="preserve"> bad</t>
  </si>
  <si>
    <t>13-Jan: messaged</t>
  </si>
  <si>
    <t>chatted, will phone bak in an hour</t>
  </si>
  <si>
    <t>18-Jan: tried to call, 45300</t>
  </si>
  <si>
    <t>Mr &amp; Mrs Verdon Arabella . Jayson Salva</t>
  </si>
  <si>
    <t xml:space="preserve">customercare@dmcihomes.com </t>
  </si>
  <si>
    <t xml:space="preserve">
0917 749 79610  918 9183456 (SMART)      0917 8115268 (GLOBE) 
</t>
  </si>
  <si>
    <t>028 555 7700</t>
  </si>
  <si>
    <t>called-no answer</t>
  </si>
  <si>
    <t>crepcopartners@gmail.com</t>
  </si>
  <si>
    <t>princediorsepe@gmail.com</t>
  </si>
  <si>
    <t>0917 132 1705 --  0961 941 2635</t>
  </si>
  <si>
    <t>Follow up ASAP</t>
  </si>
  <si>
    <t>mdadream.brokerage@gmail.com</t>
  </si>
  <si>
    <t>0936 892 2275
0909 950 5725   082-287 6869</t>
  </si>
  <si>
    <t>Busy</t>
  </si>
  <si>
    <t>Melanny Angangan</t>
  </si>
  <si>
    <t>0912 639 7316</t>
  </si>
  <si>
    <t>no Answer follow up</t>
  </si>
  <si>
    <t>Ann Charlotte Tejero -&gt; Reah Salac</t>
  </si>
  <si>
    <t>cha@pppmc.ph
hello@primabode.com</t>
  </si>
  <si>
    <t>0945 620 2059
 0925 721 6089</t>
  </si>
  <si>
    <t>info@propertyseekerrealty.com</t>
  </si>
  <si>
    <r>
      <rPr>
        <u/>
        <sz val="7"/>
        <color rgb="FF1155CC"/>
        <rFont val="Calibri"/>
        <charset val="134"/>
      </rPr>
      <t>https://www.propseekerrealty.com/</t>
    </r>
  </si>
  <si>
    <t>await email txt</t>
  </si>
  <si>
    <r>
      <rPr>
        <u/>
        <sz val="7"/>
        <color rgb="FF1155CC"/>
        <rFont val="Calibri"/>
        <charset val="134"/>
      </rPr>
      <t>amhelinabrahan08@gmail.com</t>
    </r>
  </si>
  <si>
    <t>09079268813    
0920 919 0358</t>
  </si>
  <si>
    <t xml:space="preserve">
sining.fullcircle@gmail.com</t>
  </si>
  <si>
    <t>0906 328 5313
0917 634 0350</t>
  </si>
  <si>
    <t>0932 887 8456  viber same: 0932 887 8456</t>
  </si>
  <si>
    <t>info@stellarrealtyph.com</t>
  </si>
  <si>
    <t>adv.roiph@gmail.com</t>
  </si>
  <si>
    <t>davaopropertyproviders@gmail.com</t>
  </si>
  <si>
    <t>GLOBE Mobile: 09958896413
SMART Mobile: 9095702554</t>
  </si>
  <si>
    <r>
      <rPr>
        <b/>
        <sz val="7"/>
        <color theme="1"/>
        <rFont val="Calibri"/>
        <charset val="134"/>
      </rPr>
      <t xml:space="preserve">0995-889-6413 </t>
    </r>
    <r>
      <rPr>
        <sz val="7"/>
        <color theme="1"/>
        <rFont val="Calibri"/>
        <charset val="134"/>
      </rPr>
      <t xml:space="preserve">
0923-913-0572</t>
    </r>
  </si>
  <si>
    <t xml:space="preserve">msgd, </t>
  </si>
  <si>
    <t>0951 416 3214</t>
  </si>
  <si>
    <t>Will put tarps out to mkt, Noemi got tarps - carl got them now</t>
  </si>
  <si>
    <t>will send details</t>
  </si>
  <si>
    <t>has a prospect</t>
  </si>
  <si>
    <t>is searching again now</t>
  </si>
  <si>
    <t>no good: jungamalong126@gmail.com</t>
  </si>
  <si>
    <t>Follow up on 23 Aug</t>
  </si>
  <si>
    <t>Landbank Manager</t>
  </si>
  <si>
    <t xml:space="preserve"> </t>
  </si>
  <si>
    <t>Reah Salac, Luis Navarro</t>
  </si>
  <si>
    <t>0995-889-6413   0923-913-0572
0947 752 7261 / 0945 413 9960</t>
  </si>
  <si>
    <t>0945 620 2059</t>
  </si>
  <si>
    <t>sent price 15.8M post</t>
  </si>
  <si>
    <t>N sent pics</t>
  </si>
  <si>
    <t>msgd, await reply</t>
  </si>
  <si>
    <t>Whaka Whaka</t>
  </si>
  <si>
    <t>speaking on msngr</t>
  </si>
  <si>
    <t xml:space="preserve">
My email is MAORI.Kinakeleopotiki@gmail.COM</t>
  </si>
  <si>
    <t>Mjl525477@gmail.com</t>
  </si>
  <si>
    <t xml:space="preserve">Ann Charlotte Tejero </t>
  </si>
  <si>
    <t>cha@pppmc.ph</t>
  </si>
  <si>
    <t>0925 700 6772</t>
  </si>
  <si>
    <t>rmerusselrealty@yahoo.com</t>
  </si>
  <si>
    <t xml:space="preserve">
0977 846 9170
0947 373 6630</t>
  </si>
  <si>
    <t>Tagum House and Lot Properties</t>
  </si>
  <si>
    <t xml:space="preserve">Emilla Fajardo Pabilan </t>
  </si>
  <si>
    <t>Dubious</t>
  </si>
  <si>
    <t>Contacted/ Added to FB</t>
  </si>
  <si>
    <t xml:space="preserve">Platinum Realty </t>
  </si>
  <si>
    <t>Angel, Maria A Naugalac</t>
  </si>
  <si>
    <t>https://www.facebook.com/HomesPlatinumRealty/
https://www.facebook.com/BlackAngel0414?mibextid=LQQJ4d</t>
  </si>
  <si>
    <t>wenggensoli@gmail.com</t>
  </si>
  <si>
    <t>https://www.facebook.com/BlackAngel0414?mibextid=LQQJ4d</t>
  </si>
  <si>
    <t>Maricel G. Dominguez</t>
  </si>
  <si>
    <t>https://www.facebook.com/HomesPlatinumRealty/</t>
  </si>
  <si>
    <t>https://www.messenger.com/e2ee/t/9748301158532840
WhatsApp|Viber: +639531844448</t>
  </si>
  <si>
    <t>0953 184 4448
0956 125 2435</t>
  </si>
  <si>
    <t>Contact</t>
  </si>
  <si>
    <t>First contact</t>
  </si>
  <si>
    <t>FB</t>
  </si>
  <si>
    <t>+1 714 944 6579</t>
  </si>
  <si>
    <t>?</t>
  </si>
  <si>
    <t>0997 867 4999</t>
  </si>
  <si>
    <t>Mogwai Beach Resort, Mati</t>
  </si>
  <si>
    <t>SP (M php)</t>
  </si>
  <si>
    <t>comm %</t>
  </si>
  <si>
    <t>comm</t>
  </si>
  <si>
    <t>nett</t>
  </si>
  <si>
    <t>Name</t>
  </si>
  <si>
    <t>Actions</t>
  </si>
  <si>
    <t>Pos</t>
  </si>
  <si>
    <t>Alt phone/mail</t>
  </si>
  <si>
    <t>1 good
5 poor</t>
  </si>
  <si>
    <t>Canoy Real Estate Marketing</t>
  </si>
  <si>
    <t>Michael Jay Cannoy</t>
  </si>
  <si>
    <t>0938 196 8620</t>
  </si>
  <si>
    <t>Emilio Jacinto, corner Arellano St, Davao City</t>
  </si>
  <si>
    <t>Fix up on Saturday 20 th</t>
  </si>
  <si>
    <t>Will visit sat 27 July - ring Fri</t>
  </si>
  <si>
    <t>18-Jan: Meet Arranged 23-Jan, 09-Jan: contacted, Meet Arranged 23-Jan</t>
  </si>
  <si>
    <t>Davao Realty</t>
  </si>
  <si>
    <t xml:space="preserve">0930 980 3591    </t>
  </si>
  <si>
    <t>0916 269 8795</t>
  </si>
  <si>
    <t>Not replying not interested</t>
  </si>
  <si>
    <t>13-Jan: will send email, 18-Jan: tried to call, msgd</t>
  </si>
  <si>
    <t>18-Jan: messaged, :</t>
  </si>
  <si>
    <t>First Davao Millennium Property Ventures</t>
  </si>
  <si>
    <t>Veejay Salonga</t>
  </si>
  <si>
    <t>wrong number</t>
  </si>
  <si>
    <t>has FB but does not reply</t>
  </si>
  <si>
    <t>https://www.facebook.com/media/set/?set=a.102382736468423.1281.100000900915389&amp;type=3</t>
  </si>
  <si>
    <t>Wrong number</t>
  </si>
  <si>
    <t>Fullworth Properties and Realty</t>
  </si>
  <si>
    <t>Sid Vincent Truiz</t>
  </si>
  <si>
    <t>0977 767 4663
0926 071 8844</t>
  </si>
  <si>
    <t>sidvincentruiz27@gmail.com</t>
  </si>
  <si>
    <t>both number wrong does not respond to FB messgeViber</t>
  </si>
  <si>
    <t>https://www.facebook.com/p/Fullworth-Properties-Realty-100064630377086/</t>
  </si>
  <si>
    <t>unit 201, 2nd flr. Pink walters bldg., Quimpo blvd., Davao city.</t>
  </si>
  <si>
    <t>number not working</t>
  </si>
  <si>
    <t>Leslie: Cabana resort</t>
  </si>
  <si>
    <t>they dont want to market</t>
  </si>
  <si>
    <t>https://www.facebook.com/profile.php?id=100066808142439&amp;mibextid=LQQJ4d</t>
  </si>
  <si>
    <t>Magilas Realty</t>
  </si>
  <si>
    <t>called-cannot be reach</t>
  </si>
  <si>
    <t>0928 190 4807</t>
  </si>
  <si>
    <t>sent msgs Jan 9, 28 Jun, no reply as yet</t>
  </si>
  <si>
    <t>Number is busy</t>
  </si>
  <si>
    <t>Maptorch Realtors</t>
  </si>
  <si>
    <t>0925 732 5867</t>
  </si>
  <si>
    <t>Number cannot be complited</t>
  </si>
  <si>
    <t>Maturan Realty</t>
  </si>
  <si>
    <t>Anne Uybubulante</t>
  </si>
  <si>
    <t>082 295 0485</t>
  </si>
  <si>
    <t>0933 857 7265</t>
  </si>
  <si>
    <t>https://www.facebook.com/MaturanRealty/</t>
  </si>
  <si>
    <t>msg Jun 9 and 28th no reply as yet - unresponsive</t>
  </si>
  <si>
    <t>will send info</t>
  </si>
  <si>
    <t>18-Jan: will send info, 09-Jan messaged</t>
  </si>
  <si>
    <t>My Davao Real Estate</t>
  </si>
  <si>
    <t>0917 705 5040</t>
  </si>
  <si>
    <t xml:space="preserve"> Not interested but she will refer to the agent she knew</t>
  </si>
  <si>
    <t>18-Jan: Not interested, 09-Jan messaged</t>
  </si>
  <si>
    <t>VestMore Realty</t>
  </si>
  <si>
    <t>0995 001 1677
0977 271 7898</t>
  </si>
  <si>
    <t>https://vestmorerealty.com/</t>
  </si>
  <si>
    <t>msgf fb</t>
  </si>
  <si>
    <t>Organisation</t>
  </si>
  <si>
    <t>members</t>
  </si>
  <si>
    <t>Description</t>
  </si>
  <si>
    <t>URL</t>
  </si>
  <si>
    <t>contact</t>
  </si>
  <si>
    <t>category</t>
  </si>
  <si>
    <t>Social_media</t>
  </si>
  <si>
    <t>Bahay Kubo Housing Association</t>
  </si>
  <si>
    <t>Batangas Association UK</t>
  </si>
  <si>
    <t>Benguet Organisation UK</t>
  </si>
  <si>
    <t>London</t>
  </si>
  <si>
    <t>Berkshire Filipino-British Association</t>
  </si>
  <si>
    <t>Bordon Filipino Community Association</t>
  </si>
  <si>
    <t>Caviteños UK</t>
  </si>
  <si>
    <t>Creativehearts united UK</t>
  </si>
  <si>
    <t>Backing Philippine arts and cultural initiatives for the Filipino community in West Yorkshire and the surrounding areas.</t>
  </si>
  <si>
    <t>Fil-Brits Community in Dorset</t>
  </si>
  <si>
    <t>Filipino Anglo Club of Greater Manchester</t>
  </si>
  <si>
    <t>Filipino Association of Birmingham</t>
  </si>
  <si>
    <t>Filipino Association of Southampton</t>
  </si>
  <si>
    <t>Filipino Community in Bath</t>
  </si>
  <si>
    <t>Filipino Community in Cardiff</t>
  </si>
  <si>
    <t>Filipino Community of Manchester and Cheshire</t>
  </si>
  <si>
    <t>Filipino Domestic Workers’ Association UK</t>
  </si>
  <si>
    <t>Filipino Nurses Association UK CIC</t>
  </si>
  <si>
    <t>Filipino UK Nurses Community</t>
  </si>
  <si>
    <t>Filipino Unite</t>
  </si>
  <si>
    <t>Filipino Women’s Association UK</t>
  </si>
  <si>
    <t>Filipinos in Scotland</t>
  </si>
  <si>
    <t>Haraya Choir</t>
  </si>
  <si>
    <t>Igorot UK</t>
  </si>
  <si>
    <t>Kalayaan</t>
  </si>
  <si>
    <t>Kanlungan Filipino Consortium</t>
  </si>
  <si>
    <t>Registered charity which is a consortium of grassroots community organisations working closely together for the welfare and interests of migrants, refugees, diaspora communities from the Philippines and Southeast Asia living in the UK.</t>
  </si>
  <si>
    <t>KCL Filipino Society</t>
  </si>
  <si>
    <t>Group by KCL Filipino Society</t>
  </si>
  <si>
    <t>One Pinoy Masons UK</t>
  </si>
  <si>
    <t>Philippine Centre</t>
  </si>
  <si>
    <t>Philippine Nurses Association UK</t>
  </si>
  <si>
    <t>Philippine Theatre UK</t>
  </si>
  <si>
    <t>Ryde Filipino Group Isle of Wight</t>
  </si>
  <si>
    <t>Sampayan Atbp.</t>
  </si>
  <si>
    <t>Canadian Filipino Community</t>
  </si>
  <si>
    <t>Mga Pinoy sa Ontorio</t>
  </si>
  <si>
    <t xml:space="preserve">Filipino in the USA </t>
  </si>
  <si>
    <t>Filipino OFW Japan</t>
  </si>
  <si>
    <t>325,000 Filipinos in Japan in 2020</t>
  </si>
  <si>
    <t>British Filipino Forum</t>
  </si>
  <si>
    <t>US-Philippines Society</t>
  </si>
  <si>
    <t>Filipinos in Trinidad and Tobago</t>
  </si>
  <si>
    <t>–</t>
  </si>
  <si>
    <t>ANG BISAYA OF FLORIDA, INC.</t>
  </si>
  <si>
    <t>ANG BISAYA OF FLORIDA (Tampa Bay)</t>
  </si>
  <si>
    <t>Appreciated Community Karaoke International</t>
  </si>
  <si>
    <t>Association of international Dynamic Educators, Inc</t>
  </si>
  <si>
    <t>Autism Hearts Foundation</t>
  </si>
  <si>
    <t>Cayman Bayanihan Filipino Community</t>
  </si>
  <si>
    <t>Children’s Hope Charities</t>
  </si>
  <si>
    <t>CHILDREN’S HOPE CHARITIES</t>
  </si>
  <si>
    <t>Filamaican</t>
  </si>
  <si>
    <t>Filipino-American Association of Calvert County</t>
  </si>
  <si>
    <t>Filipino American Association of Central Virginia</t>
  </si>
  <si>
    <t>Filipino-American Association of Greater Atlanta</t>
  </si>
  <si>
    <t>FACEBOOK.COM/GROUPS/89505614391</t>
  </si>
  <si>
    <t>Filipino-American Association of Pensacola, Inc.</t>
  </si>
  <si>
    <t>Filipino American Association of Stafford, Virginia</t>
  </si>
  <si>
    <t>Filipino Association of the Bahamas</t>
  </si>
  <si>
    <t>Filipino Community Association in Trinidad and Tobago</t>
  </si>
  <si>
    <t>Filipino Citizen Association of Trinidad and Tobago</t>
  </si>
  <si>
    <t>Filipino Community Cayman</t>
  </si>
  <si>
    <t>Filipino Festival</t>
  </si>
  <si>
    <t>@filipinofestivalrichmond</t>
  </si>
  <si>
    <t>Filipino Youth Leaders Program</t>
  </si>
  <si>
    <t>https://www.facebook.com/FYLPRO</t>
  </si>
  <si>
    <t>FLORIDA PINOY</t>
  </si>
  <si>
    <t>https://www.facebook.com/groups/133927293300255</t>
  </si>
  <si>
    <t>FILAMemphis, Inc.</t>
  </si>
  <si>
    <t>@FILAMemphisTambayan</t>
  </si>
  <si>
    <t>IFUGAO OFWs WORLDWIDE ADVOCATE ORGANIZATION, INC</t>
  </si>
  <si>
    <t>Ilocano Society of America (ISA) Inc/ Miss Teen Philippines-America</t>
  </si>
  <si>
    <t>https://www.facebook.com/MISS-TEEN-Philippines-America-by-ISA-103663363108260</t>
  </si>
  <si>
    <t>Kalayaan Atlanta 2022 Committee</t>
  </si>
  <si>
    <t>Kalayaan Atlanta</t>
  </si>
  <si>
    <t>Katipunan Filipino-American Association of Maryland</t>
  </si>
  <si>
    <t>https://www.facebook.com/KatipunanMD</t>
  </si>
  <si>
    <t>Mabuhay, Inc.</t>
  </si>
  <si>
    <t>https://www.facebook.com/groups/307166396029188</t>
  </si>
  <si>
    <t>Marinduqueño Association of the Capital Area, Inc.</t>
  </si>
  <si>
    <t>https://www.facebook.com/MACAInc</t>
  </si>
  <si>
    <t>MARYLAND STATE COUNCIL, KNIGHTS OF COLUMBUS, SANTO NINO COUNCIL 9462</t>
  </si>
  <si>
    <t>Migrant Heritage Commission (MHC)</t>
  </si>
  <si>
    <t>National Federation of Filipino American Associations</t>
  </si>
  <si>
    <t>OFWI (Overseas Filipino Workers International)</t>
  </si>
  <si>
    <t>Order of the Knights of Rizal Virginia Beach Chapter</t>
  </si>
  <si>
    <t>PGBI Phoenix Guardians Chapter 2 Cayman Islands</t>
  </si>
  <si>
    <t>Philippine American Academy of Science and Engineering</t>
  </si>
  <si>
    <t>https://www.facebook.com/TheFilipinoScientist</t>
  </si>
  <si>
    <t>Philippine American Chamber of Commerce of Metro Washington DC</t>
  </si>
  <si>
    <t>https://www.facebook.com/paccdc</t>
  </si>
  <si>
    <t>Philippine Association of Medical Technologists, Indiana Chapter</t>
  </si>
  <si>
    <t>PHILIPPINE CULTURAL FOUNDATION, INC.</t>
  </si>
  <si>
    <t>PCFI TAMPA</t>
  </si>
  <si>
    <t>Philippine Cultural Foundation, Inc.</t>
  </si>
  <si>
    <t>https://www.facebook.com/Philippine-Cultural-Foundation-Inc-121124187441/</t>
  </si>
  <si>
    <t>Philippine Guardians Brotherhood Inc. Cayman Islands</t>
  </si>
  <si>
    <t>Philippine Guardians Brotherhood Inc. Phoenix- Chapter 2</t>
  </si>
  <si>
    <t>Philippine Medical Society of Florida Gulf Coast Chapter</t>
  </si>
  <si>
    <t>https://www.facebook.com/groups/2075754849370441/?ref=share</t>
  </si>
  <si>
    <t>Philippine Medical Association of Metro Washington DC</t>
  </si>
  <si>
    <t>https://www.facebook.com/groups/277660239104120</t>
  </si>
  <si>
    <t>Philippine Nurses Association of Indiana (PNA-IN), Inc.</t>
  </si>
  <si>
    <t>Philippine Nurses Association of Metropolitan DC</t>
  </si>
  <si>
    <t>https://www.facebook.com/pnamdc</t>
  </si>
  <si>
    <t>Philippine Nurses Association of Virginia, Inc</t>
  </si>
  <si>
    <t>The Filipino Association of British Virgin Islands</t>
  </si>
  <si>
    <t>The Filipino Community – The Commonwealth of the Bahamas</t>
  </si>
  <si>
    <t>The Filipino Community in Palau</t>
  </si>
  <si>
    <t>Triskelion Cayman National Council</t>
  </si>
  <si>
    <t>and Tobago Caribbean island</t>
  </si>
  <si>
    <t>United Filipinos of St. Maarten Association</t>
  </si>
  <si>
    <t>NaFFAA Capital Region</t>
  </si>
  <si>
    <t>BARKADAHAN KRUISERS MC</t>
  </si>
  <si>
    <t>Association of Filipinos in Antigua and Barbuda (AFAB)</t>
  </si>
  <si>
    <t>The P.U.S.O. Foundation</t>
  </si>
  <si>
    <t>https://www.pusofoundation.org/</t>
  </si>
  <si>
    <t>University of the Philippines Alumni Association of DC, MD, VA</t>
  </si>
  <si>
    <t>http://www.upaadcmdva.org/</t>
  </si>
  <si>
    <t>The Filipino Association of St. Vincent and the Grenadines INC</t>
  </si>
  <si>
    <t>Marinduqueno Association of the Capital Area</t>
  </si>
  <si>
    <t>Filipino-American Community of the Carolinas (FACC)</t>
  </si>
  <si>
    <t>United Federation of Filipino-American Educators -Maryland Chapter</t>
  </si>
  <si>
    <t>uniffiedmd.com</t>
  </si>
  <si>
    <t>Medical Mission of Mercy USA (MMOM USA)</t>
  </si>
  <si>
    <t>www.mmomusa.org</t>
  </si>
  <si>
    <t>Filipino American Community Action Group</t>
  </si>
  <si>
    <t>www.filamcag.org</t>
  </si>
  <si>
    <t>Helping Hand 18:35</t>
  </si>
  <si>
    <t>www.burudungshelpinghand.org</t>
  </si>
  <si>
    <t>OFWGME (Overseas Filipino Workers GLobal Movement for Empowerment</t>
  </si>
  <si>
    <t>Ancop Foundation USA, Inc.</t>
  </si>
  <si>
    <t>www.ancopusa.org</t>
  </si>
  <si>
    <t>Fil/Am Community Ministry</t>
  </si>
  <si>
    <t>Philippine-American Community of the Peninsula (Virginia)</t>
  </si>
  <si>
    <t>Filitian4.0</t>
  </si>
  <si>
    <t>GK USA( Gawad Kalinga USA)</t>
  </si>
  <si>
    <t>www.gk-usa.org</t>
  </si>
  <si>
    <t>PAMANA, Inc: Philippine-American Mainstream Advocacy for Nonpartisan Associations, Inc.</t>
  </si>
  <si>
    <t>https://www.pamanainc.org/</t>
  </si>
  <si>
    <t>LindaBen Foundation, Inc</t>
  </si>
  <si>
    <t>www.lindabenfoundation.org</t>
  </si>
  <si>
    <t>Humana</t>
  </si>
  <si>
    <t>https://www.humana.com/aoa/1897819</t>
  </si>
  <si>
    <t>Filipino Community Center of Charleston, SC</t>
  </si>
  <si>
    <t>Fccofcharleston.com</t>
  </si>
  <si>
    <t>Fil-am Movement Inc</t>
  </si>
  <si>
    <t>Makabayan Georgia, Inc.</t>
  </si>
  <si>
    <t>www.makabayangeorgia.org</t>
  </si>
  <si>
    <t>The Group International Foundation of Northern Virginia</t>
  </si>
  <si>
    <t>Hiyasmin Philippine Cultural Society of Charleston</t>
  </si>
  <si>
    <t>Bicol Association of Charleston SC</t>
  </si>
  <si>
    <t>FILIPINO COMMUNITY CENTER OF CHARLESTON, SC INC.</t>
  </si>
  <si>
    <t>FCCofcharleston.com</t>
  </si>
  <si>
    <t>Filipino American Cancer Care</t>
  </si>
  <si>
    <t>filamcancercare.org</t>
  </si>
  <si>
    <t>Sayaw Diversity</t>
  </si>
  <si>
    <t>Filipino-American Association of Greater Columbia, South Carolina</t>
  </si>
  <si>
    <t>https://filamsc.org/</t>
  </si>
  <si>
    <t>Philippine Nurses Association of Northeast FL</t>
  </si>
  <si>
    <t>Filipino American Jacksonville Chamber of Commerce</t>
  </si>
  <si>
    <t>Filipino-American Community Council NEF</t>
  </si>
  <si>
    <t>Brotherhood of Christian Businessmen and Professionals Metro DC (BCBP)</t>
  </si>
  <si>
    <t>www.bcbpnyc.com/washington-main.html</t>
  </si>
  <si>
    <t>The Filipino Council of the Archdiocese of Baltimore, Inc.</t>
  </si>
  <si>
    <t>The Bayanihan Cultural Dance Group, Inc.</t>
  </si>
  <si>
    <t>University of Santo Tomas Alumni Ass’n in America (USTAAA) Inc</t>
  </si>
  <si>
    <t>Philippine Humanitarian Coalition</t>
  </si>
  <si>
    <t>https://phcdc.net</t>
  </si>
  <si>
    <t>Philippine Association of Metropolitan Washington Engineers</t>
  </si>
  <si>
    <t>Ateneo Alumni Association of Metro Washington DC</t>
  </si>
  <si>
    <t>ateneodc.org</t>
  </si>
  <si>
    <t>Nexus USA</t>
  </si>
  <si>
    <t>Landmark Sports</t>
  </si>
  <si>
    <t>Proud to be a Filipina</t>
  </si>
  <si>
    <t>Filipinos at Amazon</t>
  </si>
  <si>
    <t>Filipina Women’s Network</t>
  </si>
  <si>
    <t>www.filipinawomensnetwork.org</t>
  </si>
  <si>
    <t>Filipino Association in Barbados (FAB)</t>
  </si>
  <si>
    <t>N/A</t>
  </si>
  <si>
    <t>r of Commerce of North Carolina</t>
  </si>
  <si>
    <t>Philippine Guardians Brotherhood,Inc(PGBI)-Cayman Islands</t>
  </si>
  <si>
    <t>https://www.pgbiguardiansonline.net/organization/overseas-chapters/cayman-islands/</t>
  </si>
  <si>
    <t>Filipino community association of trinidad and tobago Caribbean island</t>
  </si>
  <si>
    <t>United Filipino Community in Grenada</t>
  </si>
  <si>
    <t>Hudyaka sa DMV</t>
  </si>
  <si>
    <t>www.hudyakasadmv.org</t>
  </si>
  <si>
    <t>OFW BVI ORGANIZATION</t>
  </si>
  <si>
    <t>Filipino American Jacksonville Chamber of Commerce (FAJCC)</t>
  </si>
  <si>
    <t>www.filamjaxchamber.org</t>
  </si>
  <si>
    <t>Filipino Community in the Turks and Caicos Islands</t>
  </si>
  <si>
    <t>www.paswpb.org</t>
  </si>
  <si>
    <t>Filipino American Society Inc.</t>
  </si>
  <si>
    <t>filamsociety.org</t>
  </si>
  <si>
    <t>The Ruth Sembrano Foundation</t>
  </si>
  <si>
    <t>https://theruthsembranofoundation.org/</t>
  </si>
  <si>
    <t>SINTA</t>
  </si>
  <si>
    <t>https://youtube.com/@sintadancecrew</t>
  </si>
  <si>
    <t>Philippine Science High School International Alumni Foundation Inc.</t>
  </si>
  <si>
    <t>pisayian.org</t>
  </si>
  <si>
    <t>Philippine American Society Inc.</t>
  </si>
  <si>
    <t>PAMET MID-ATLANTIC (Philippine Association of Medical Technologists, USA Inc.)</t>
  </si>
  <si>
    <t>https://www.pametmidatlantic.org/</t>
  </si>
  <si>
    <t>Filipino-American Association of West Virginia</t>
  </si>
  <si>
    <t>https://newyorkpcg.org/pcgny/culture-community/fil-am-community-directory/</t>
  </si>
  <si>
    <t>Adamson University Alumni Northeast USA (ADUANE - USA)</t>
  </si>
  <si>
    <t>Mario V. Garcia</t>
  </si>
  <si>
    <t>mvgglobal@gmail.com</t>
  </si>
  <si>
    <t>Alumni: Colleges/University</t>
  </si>
  <si>
    <t>Association of Fil-Am Teachers of America, Inc. (AFTA)</t>
  </si>
  <si>
    <t>Rena O. Pedaria</t>
  </si>
  <si>
    <t>rpedaria@gmail.com, afta.inc1989@gmail.com</t>
  </si>
  <si>
    <t>Education</t>
  </si>
  <si>
    <t>Bakas Pilipinas, Inc.</t>
  </si>
  <si>
    <t>Roz Li</t>
  </si>
  <si>
    <t>info@bakaspilipinas.org</t>
  </si>
  <si>
    <t>History &amp; Heritage</t>
  </si>
  <si>
    <t>Barangay Gingoognons in the USA (GIUSA)</t>
  </si>
  <si>
    <t>Leonora "Nora" Galleros-Tinio</t>
  </si>
  <si>
    <t>ngalleros@gallerosrobinson.com</t>
  </si>
  <si>
    <t>Regional Organizations</t>
  </si>
  <si>
    <t>Bayanihan Association of America, Inc.</t>
  </si>
  <si>
    <t>Olivia Melaya Strohman</t>
  </si>
  <si>
    <t>olive_melaya@yahoo.com</t>
  </si>
  <si>
    <t>Community Building</t>
  </si>
  <si>
    <t>Cagayan de Oro City- Misamis Oriental Assn of New York, Inc. (CDO-MIS OR)</t>
  </si>
  <si>
    <t>Marygene A. Espinosa</t>
  </si>
  <si>
    <t>Marygeneespinosa@gmail.com</t>
  </si>
  <si>
    <t>Catholic Action of Mary (CAM)</t>
  </si>
  <si>
    <t>Freddy Burke</t>
  </si>
  <si>
    <t>FreddyBurkeDRE@gmail.com</t>
  </si>
  <si>
    <t>Religious Groups</t>
  </si>
  <si>
    <t>Cebuanos Engaging in Building Unity Inc. (C.E.B.U. Inc.)</t>
  </si>
  <si>
    <t>Susan Albenio</t>
  </si>
  <si>
    <t>board@cebuinc.org</t>
  </si>
  <si>
    <t>www.cebuinc.org</t>
  </si>
  <si>
    <t>College of the Holy Spirit North America Foundation - NorthEast Chapter (CHSNAF)</t>
  </si>
  <si>
    <t>Mimi Jacobo-Samson</t>
  </si>
  <si>
    <t>Jmtwo25mas@gmail.com</t>
  </si>
  <si>
    <t>chsnaf.org</t>
  </si>
  <si>
    <t>Coronel-Endaya Foundation</t>
  </si>
  <si>
    <t>Dr. Maria-Kassandra Coronel</t>
  </si>
  <si>
    <t>ceo@coronelendayafoundation.org</t>
  </si>
  <si>
    <t>Health</t>
  </si>
  <si>
    <t>D'Balayan East Coast USA Inc.</t>
  </si>
  <si>
    <t>Aida Pantoja Tagle</t>
  </si>
  <si>
    <t>aidat1260@gmail.com</t>
  </si>
  <si>
    <t>De La Salle Alumni Association - Metro New York (DLSAA-MNY)</t>
  </si>
  <si>
    <t>Maricel-Reyes-Edel</t>
  </si>
  <si>
    <t>DLSAA.metrony@gmail.com</t>
  </si>
  <si>
    <t>Devotees of Our Lady of the Rosary of Manaoag - New Jersey (DOLRM-NJ)</t>
  </si>
  <si>
    <t>Myrna San Augustin</t>
  </si>
  <si>
    <t>dolrm_nj1@yahoo.com</t>
  </si>
  <si>
    <t>Far Eastern University Nursing Alumni Inc. USA</t>
  </si>
  <si>
    <t>Jose Mapalad M. Planillo RN MSN MBA HCM</t>
  </si>
  <si>
    <t>jmplanillo@gmail.com</t>
  </si>
  <si>
    <t>Federation of Independent Legions of Immigrant Philippine Americans in the North Americas (F.I.L.I.P.I.N.A.S., Inc.)</t>
  </si>
  <si>
    <t>Crispin Fernandez</t>
  </si>
  <si>
    <t>cfernandez@filipinasinc.org, crispinfernandez8888@gmail.com</t>
  </si>
  <si>
    <t>Fiesta In America Expo</t>
  </si>
  <si>
    <t>Fernando Mendez</t>
  </si>
  <si>
    <t>sepmgzn@yahoo.com</t>
  </si>
  <si>
    <t>https://fiestainamerica.com/</t>
  </si>
  <si>
    <t>Fil-Am Catholic Community of Hudson Valley</t>
  </si>
  <si>
    <t>Bro. Von Erick M. Sandoval</t>
  </si>
  <si>
    <t>Azn_alfonso95@yahoo.com</t>
  </si>
  <si>
    <t>Fil-Am Community of Upstate New York, Inc.</t>
  </si>
  <si>
    <t>Salvador Banan</t>
  </si>
  <si>
    <t>sbanan@gmail.com</t>
  </si>
  <si>
    <t>Fil-AM United Association</t>
  </si>
  <si>
    <t>Priscilla Bachman</t>
  </si>
  <si>
    <t>pmbachman170@gmail.com</t>
  </si>
  <si>
    <t>FilinArts of America, Inc.</t>
  </si>
  <si>
    <t>Debbie Nacalaban Sese</t>
  </si>
  <si>
    <t>debnacksese@gmail.com</t>
  </si>
  <si>
    <t>Arts &amp; Cultutre</t>
  </si>
  <si>
    <t>Filipino American Association of Central New Jersey (FAACNJ)</t>
  </si>
  <si>
    <t>Chito Allarde and/or Dr. Dante Ragasa</t>
  </si>
  <si>
    <t>mallarde@optonline.net, faacnj19@gmail.com</t>
  </si>
  <si>
    <t>faacnj.org</t>
  </si>
  <si>
    <t>Filipino American Association of Bucks County Inc.</t>
  </si>
  <si>
    <t>Jairam Imperial</t>
  </si>
  <si>
    <t>jayandnidaimperial@yahoo.com</t>
  </si>
  <si>
    <t>Filipino American Association of Engineers (FAAE)</t>
  </si>
  <si>
    <t>Arlyn A. Agasino</t>
  </si>
  <si>
    <t>faaeinctristate@gmail.com</t>
  </si>
  <si>
    <t>https://www.faaeinc.org</t>
  </si>
  <si>
    <t>Professional Development</t>
  </si>
  <si>
    <t>Filipino American Association of Pittsburgh (FAAP)</t>
  </si>
  <si>
    <t>Lani Mears</t>
  </si>
  <si>
    <t>contact@thefaap.org</t>
  </si>
  <si>
    <t>Filipino American Lawyers of New York (FALA NY)</t>
  </si>
  <si>
    <t>Louise Lingat</t>
  </si>
  <si>
    <t>info@falanewyork.org</t>
  </si>
  <si>
    <t>Filipino Cancer Network of New England , Inc. (FCNNEF)</t>
  </si>
  <si>
    <t>Chit Abriam</t>
  </si>
  <si>
    <t>chitabriam2@aol.com</t>
  </si>
  <si>
    <t>www.fcnnef.org</t>
  </si>
  <si>
    <t>Health &amp; Wellness</t>
  </si>
  <si>
    <t>Filipino Executive Council of Greater Philadelphia, Inc. (FECGP)</t>
  </si>
  <si>
    <t>Roman Ventura</t>
  </si>
  <si>
    <t>fecgp.president@gmail.com</t>
  </si>
  <si>
    <t>Filipino Social Club of NY Inc. (FSCNY)</t>
  </si>
  <si>
    <t>Joann A. Carman</t>
  </si>
  <si>
    <t>mrsphil95@aol.com</t>
  </si>
  <si>
    <t>Filipino-American Community in Vermont</t>
  </si>
  <si>
    <t>Elizabeth A. Robenstein</t>
  </si>
  <si>
    <t>filamvt802@gmail.com</t>
  </si>
  <si>
    <t>https://filamvt802.wixsite.com/filiamcomunityvt</t>
  </si>
  <si>
    <t>Filipinos of New York</t>
  </si>
  <si>
    <t>Robert Bacaycay</t>
  </si>
  <si>
    <t>admin@filipinosofny.com</t>
  </si>
  <si>
    <t>Handang Tumulong Foundation, Inc. (HTFI)</t>
  </si>
  <si>
    <t>Dennis Bernardo, MD</t>
  </si>
  <si>
    <t>htfi.2010@gmail.com</t>
  </si>
  <si>
    <t>http://www.handangtumulong.org/</t>
  </si>
  <si>
    <t>Ilocano American Association, Inc. (IAAI)</t>
  </si>
  <si>
    <t>Derick Hidalgo</t>
  </si>
  <si>
    <t>iaainy1982@gmail.com</t>
  </si>
  <si>
    <t>International Women Artists, Inc.</t>
  </si>
  <si>
    <t>Ann Constantino Beck</t>
  </si>
  <si>
    <t>internationalwomenartists@gmail.com</t>
  </si>
  <si>
    <t>Arts &amp; Culture</t>
  </si>
  <si>
    <t>Island Gems Philippine Cultural Group</t>
  </si>
  <si>
    <t>Helen Kwong-LaBarbera</t>
  </si>
  <si>
    <t>helenkwong27@yahoo.com</t>
  </si>
  <si>
    <t>JCI New York Queens</t>
  </si>
  <si>
    <t>Richard Lacson</t>
  </si>
  <si>
    <t>jciqueens@outlook.com</t>
  </si>
  <si>
    <t>Junior Chamber International (JCI) Philippines - New York (JCI-Philippine NY)</t>
  </si>
  <si>
    <t>Jubert Paul M. Ong</t>
  </si>
  <si>
    <t>jp.ong@philnyjaycees.org</t>
  </si>
  <si>
    <t>http://www.philnyjaycees.org/</t>
  </si>
  <si>
    <t>Kalayaan Cultural Ensemble (Kalayaan USA)</t>
  </si>
  <si>
    <t>Emy Delgaudio</t>
  </si>
  <si>
    <t>Chairman@KalayaanUSA.org</t>
  </si>
  <si>
    <t>Art &amp; Culture</t>
  </si>
  <si>
    <t>KAPWA</t>
  </si>
  <si>
    <t>Edelqueen Ilangos</t>
  </si>
  <si>
    <t>Edelquin88@yahoo.com</t>
  </si>
  <si>
    <t>Kinding Sindaw Heritage Foundation, Inc.</t>
  </si>
  <si>
    <t>Potrirankamanis Queano Nur</t>
  </si>
  <si>
    <t>info@kindingsindaw.org</t>
  </si>
  <si>
    <t>http://www.kindingsindaw.org/</t>
  </si>
  <si>
    <t>Knights of Rizal - Astoria Chapter (KOR - Astoria)</t>
  </si>
  <si>
    <t>Joselito Jay Cayabyab</t>
  </si>
  <si>
    <t>kor.astoria@gmail.com</t>
  </si>
  <si>
    <t>Knights of Rizal New Jersey Chapter, Inc. (KOR - NJ)</t>
  </si>
  <si>
    <t>Emmanuael Malasig</t>
  </si>
  <si>
    <t>emalasig9@gmail.com</t>
  </si>
  <si>
    <t>Knights of Rizal New York Chapter (KOR - NY)</t>
  </si>
  <si>
    <t>Cayetano Paderanga IV</t>
  </si>
  <si>
    <t>cwpaderanga4@gmail.com</t>
  </si>
  <si>
    <t>Ladies For Rizal Long Island (LFRLI)</t>
  </si>
  <si>
    <t>Myrna Gutierrez</t>
  </si>
  <si>
    <t>myrnagut66@gmail.com</t>
  </si>
  <si>
    <t>Leadership Initiative for Modern Bukidnon Artists and Youth (LIMBAY)</t>
  </si>
  <si>
    <t>Apple McArtan</t>
  </si>
  <si>
    <t>limbay.ny@gmail.com</t>
  </si>
  <si>
    <t>Makilala TV</t>
  </si>
  <si>
    <t>Cristina Pastor c/o Rachelle Ocampo</t>
  </si>
  <si>
    <t>info@makilalatv.com</t>
  </si>
  <si>
    <t>Marcos Loyalist Para sa Bagong Pilipinas - New York</t>
  </si>
  <si>
    <t>Dr. JonJon Rafael</t>
  </si>
  <si>
    <t>MarcosLoyalistPSBPNY@gmail.com</t>
  </si>
  <si>
    <t>Mindanao State University Alumni Association - North America Chapter (MSUAA-NA)</t>
  </si>
  <si>
    <t>Janeth Blake</t>
  </si>
  <si>
    <t>msuaanorthamerica@gmail.com</t>
  </si>
  <si>
    <t>MSUeVillage International Nortneastern USA Inc.</t>
  </si>
  <si>
    <t>Helen U. Howard</t>
  </si>
  <si>
    <t>haubal.howard@gmail.com</t>
  </si>
  <si>
    <t>National Federation Of Filipino American Associations New England (NaFFAA New England )</t>
  </si>
  <si>
    <t>Frank Celoza</t>
  </si>
  <si>
    <t>Fceloza@gmail.com</t>
  </si>
  <si>
    <t>National Federation Of Filipino American Associations New York (NaFFAA NY)</t>
  </si>
  <si>
    <t>Rachelle Ocampo</t>
  </si>
  <si>
    <t>rachelle.ocampo@naffaa.org</t>
  </si>
  <si>
    <t>New England Filipino American, Inc. (NEFAI)</t>
  </si>
  <si>
    <t>Tess Flynn-Day, CPA</t>
  </si>
  <si>
    <t>Tess.f@grandwineandspirits.com</t>
  </si>
  <si>
    <t>North American Basketball Association</t>
  </si>
  <si>
    <t>Christopher Bejar</t>
  </si>
  <si>
    <t>Gani_gregorio@yahoo.com</t>
  </si>
  <si>
    <t>NYC Filipinos, LLC</t>
  </si>
  <si>
    <t>Deirdre Levy</t>
  </si>
  <si>
    <t>Ligafilipinanetwork@gmail.com</t>
  </si>
  <si>
    <t>Pan American Concerned Citizens Action League, Inc. (PACCAL)</t>
  </si>
  <si>
    <t>Ria Serrano</t>
  </si>
  <si>
    <t>paccal.org@yahoo.com</t>
  </si>
  <si>
    <t>https://www.facebook.com/paccal.org</t>
  </si>
  <si>
    <t>Senior Citizens</t>
  </si>
  <si>
    <t>Philippine American Communities of the East Coast , Inc. (PACEC)</t>
  </si>
  <si>
    <t>Juliet Payabyab</t>
  </si>
  <si>
    <t>julietpayabyab@yahoo.com</t>
  </si>
  <si>
    <t>Philippine American Friendship Community, Inc. (PAFCOM)</t>
  </si>
  <si>
    <t>Roxanne A. Cajigas</t>
  </si>
  <si>
    <t>pafcomnj@gmail.com</t>
  </si>
  <si>
    <t>www.pafcomnj.org</t>
  </si>
  <si>
    <t>Philippine American Heritage Council</t>
  </si>
  <si>
    <t>Fely Perez</t>
  </si>
  <si>
    <t>diamond4fely@yahoo.com</t>
  </si>
  <si>
    <t>Philippine American Seniors Association of Rockland (PASAR)</t>
  </si>
  <si>
    <t>Nelson D. Hidalgo, M.D.</t>
  </si>
  <si>
    <t>ndhidalgomd@aol.com</t>
  </si>
  <si>
    <t>Philippine Independence Day Council Inc. (PIDCI)</t>
  </si>
  <si>
    <t>Nora Galleros</t>
  </si>
  <si>
    <t>nora.galleros@pidci.org</t>
  </si>
  <si>
    <t>http://www.pidci.org/</t>
  </si>
  <si>
    <t>Philippine Nurses Association of New York, Inc. (PNA - NY)</t>
  </si>
  <si>
    <t>Janet Cuaycong</t>
  </si>
  <si>
    <t>info@pnanewyork.org</t>
  </si>
  <si>
    <t>http://www.pnanewyork.org/</t>
  </si>
  <si>
    <t>Philippine Women's University Alumni Association (TriState), Inc. (PWUAA)</t>
  </si>
  <si>
    <t>Alex L. Esteban</t>
  </si>
  <si>
    <t>pwuaa_tristate@yahoo.com</t>
  </si>
  <si>
    <t>Pilipino American Association of New England, Inc. (PAMAS)</t>
  </si>
  <si>
    <t>Shinette S. Jerman</t>
  </si>
  <si>
    <t>Shinejerman@yahoo.com</t>
  </si>
  <si>
    <t>Pinoy Runners of New Jersey</t>
  </si>
  <si>
    <t>Rolly Pagdanganan</t>
  </si>
  <si>
    <t>Pinoyrunnersnj@gmail.com</t>
  </si>
  <si>
    <t>Professional Filipino American Youth (PFAY)</t>
  </si>
  <si>
    <t>Lauren Lalicoin</t>
  </si>
  <si>
    <t>info@pfay.org</t>
  </si>
  <si>
    <t>https://pfay.org/</t>
  </si>
  <si>
    <t>Pvt. Tomas Claudio VFW Post 1063</t>
  </si>
  <si>
    <t>Senn Fontanilla</t>
  </si>
  <si>
    <t>filamvet@gmail.com</t>
  </si>
  <si>
    <t>filamvet.org</t>
  </si>
  <si>
    <t>Reformist Guardians International - Alakdan New York (RGI - Alakdan New York)</t>
  </si>
  <si>
    <t>Romeo Alolor "RMG Badjao"</t>
  </si>
  <si>
    <t>alakdanny@gmail.com</t>
  </si>
  <si>
    <t>Rejoice for God (The Greatest Artist) Acting Group (RFGA)</t>
  </si>
  <si>
    <t>Tino Aquino Capili</t>
  </si>
  <si>
    <t>Faqcapili2010@yahoo.com / Theatworl2007@gmail.com</t>
  </si>
  <si>
    <t>Rotary Club of Queensborough West</t>
  </si>
  <si>
    <t>Stella Piscano</t>
  </si>
  <si>
    <t>queensboroughwest@gmail.com</t>
  </si>
  <si>
    <t>Santo Nino Group of Nassau</t>
  </si>
  <si>
    <t>Jiji Shapiro</t>
  </si>
  <si>
    <t>mnmmom59@yahoo.com</t>
  </si>
  <si>
    <t>Santo Nino Han Tacloban Association East Coast</t>
  </si>
  <si>
    <t>Hector Espinosa</t>
  </si>
  <si>
    <t>hectoFACEBOOKrespinosa53@yahoo.com</t>
  </si>
  <si>
    <t>Staten Island Philippine American Group (SIPAG - NY)</t>
  </si>
  <si>
    <t>Ederlinda Miranda</t>
  </si>
  <si>
    <t>sipagny@gmail.com</t>
  </si>
  <si>
    <t>https://sipagny.org/</t>
  </si>
  <si>
    <t>Talisay Association - USA, Inc. (TAUSA)</t>
  </si>
  <si>
    <t>Marilou Laurel Opena</t>
  </si>
  <si>
    <t>tausa.inc1987@gmail.com</t>
  </si>
  <si>
    <t>Tanglaw Filipino-American Organization (TANGLAW)</t>
  </si>
  <si>
    <t>Maria Shapiro</t>
  </si>
  <si>
    <t>The City of Seven Lakes, San Pablo City</t>
  </si>
  <si>
    <t>Alma Grace Avanzado</t>
  </si>
  <si>
    <t>info@sanpablocityassociation.org</t>
  </si>
  <si>
    <t>www.sanpablocityassociation.org</t>
  </si>
  <si>
    <t>The Filipino Diocesan Music Ministry - Diocese of Brooklyn (FDMM)</t>
  </si>
  <si>
    <t>Cecilia L. Capiral-Matela</t>
  </si>
  <si>
    <t>cecillelcm@yahoo.com</t>
  </si>
  <si>
    <t>The Filipino School of New York &amp; New Jersey</t>
  </si>
  <si>
    <t>Venessa Manzano</t>
  </si>
  <si>
    <t>info@filschool-nynj.org</t>
  </si>
  <si>
    <t>https://filschool-nynj.org/</t>
  </si>
  <si>
    <t>The Institute of Electronics and Communication Engineers of the Philippines (IECEP)</t>
  </si>
  <si>
    <t>Engr. Junry C. Terrado, PECE, MBA, CCNP, MCP</t>
  </si>
  <si>
    <t>iecepmanila@outlook.com</t>
  </si>
  <si>
    <t>TOFA Awards LLC</t>
  </si>
  <si>
    <t>Elton Lugay</t>
  </si>
  <si>
    <t>elton.lugay@gmail.com</t>
  </si>
  <si>
    <t>United Federation of Fil-Am Educators Inc - New Jersey Chapter (UNIFFIED NJ)</t>
  </si>
  <si>
    <t>Catalina C. Suerte</t>
  </si>
  <si>
    <t>getinfo@uniffiednj.org</t>
  </si>
  <si>
    <t>www.uniffiednj.org</t>
  </si>
  <si>
    <t>United Federation of Fil-Am Educators Inc - New York Chapter (UNIFFIED NY)</t>
  </si>
  <si>
    <t>Trifonia D. Brecio</t>
  </si>
  <si>
    <t>uniffiednyc01@gmail.com</t>
  </si>
  <si>
    <t>United Mindoro International Inc.</t>
  </si>
  <si>
    <t>University of the Philippines Alumni &amp; Friends Rondalla, Inc.</t>
  </si>
  <si>
    <t>J.M. Lee Clemente</t>
  </si>
  <si>
    <t>josemariclemente@yahoo.com</t>
  </si>
  <si>
    <t>University of the Philippines Nurses of the East Coast (UPNEC)</t>
  </si>
  <si>
    <t>Rosemarie Gadioma</t>
  </si>
  <si>
    <t>upnec2021@gmail.com</t>
  </si>
  <si>
    <t>UP Medical Alumni Society in America NJ/NY/CT Chapter (UPMASA)</t>
  </si>
  <si>
    <t>Antonio Costales</t>
  </si>
  <si>
    <t>antoniocostales@gmail.com</t>
  </si>
  <si>
    <t>Pinoys in Germany Forum</t>
  </si>
  <si>
    <t>active</t>
  </si>
  <si>
    <t>Pinoy ps Forum</t>
  </si>
  <si>
    <t>Pinoy guy guide forum</t>
  </si>
  <si>
    <t>Redit&gt;Pinnoy</t>
  </si>
  <si>
    <t>PinoyKiwi Forum</t>
  </si>
  <si>
    <t>Pinnoy Australia Forum</t>
  </si>
  <si>
    <t>PinoyExchange</t>
  </si>
  <si>
    <t>Pinoyden</t>
  </si>
  <si>
    <t>Philippine German business forum</t>
  </si>
  <si>
    <t>Name of Organization</t>
  </si>
  <si>
    <t>Main Location</t>
  </si>
  <si>
    <t>Head / Contact Person</t>
  </si>
  <si>
    <t>Social Media</t>
  </si>
  <si>
    <t>Babaylan Germany, Philippine Women’s Forum e.V.*</t>
  </si>
  <si>
    <t>Ms. Mary Lou Hardillo, Chairperson
babaylangermany@gmail.com</t>
  </si>
  <si>
    <t>Nordrhein-Westfalen</t>
  </si>
  <si>
    <t>Facebook: https://www.facebook.com/Babaylan-Germany-The-Philippine-Womens-Network-in-Europe-428739363858671/</t>
  </si>
  <si>
    <t>Deutsch-Philippinische Freundchaftsgruppe Altötting</t>
  </si>
  <si>
    <t>Ms. Salvacion C. Schmid
src.schmid@gmx.net</t>
  </si>
  <si>
    <t>Bayern</t>
  </si>
  <si>
    <t>European Network of Filipino Diaspora (ENFiD)-Germany e.V.*</t>
  </si>
  <si>
    <t>Ms. Evelyn Müschen (Chairperson)
evelyn.alcarmen.mueschen@googlemail.com</t>
  </si>
  <si>
    <t>Facebook: https://www.facebook.com/ENFiDGermany
Twitter: @EnfidGermany</t>
  </si>
  <si>
    <t>Filipino – Americans of Kaiserslautern Military Community (Fil-Ams of KMC)</t>
  </si>
  <si>
    <t>Ms. Nerice Orvis
like.what.ever79@gmail.com</t>
  </si>
  <si>
    <t>Rheinland-Pflalz</t>
  </si>
  <si>
    <t>Facebook: https://www.facebook.com/groups/148618511505/?ref=share</t>
  </si>
  <si>
    <t>Filipino Folklore Ensemle – Ratingen</t>
  </si>
  <si>
    <t>Ms. Jeanette Rempola- Hodes
willi-jeanette@t-online.de</t>
  </si>
  <si>
    <t>Kapatiran at Ugnayan ng Natatanging Sining at Talento (KUNST)</t>
  </si>
  <si>
    <t>Mr. Virgilio Cuizon
kunst_gallery@yahoo.com</t>
  </si>
  <si>
    <t>Kinderhilfe Philippinen e.V., Saarbrücken*</t>
  </si>
  <si>
    <t>Ms. Anita Nowack, Chairwoman
KinderhilfePhil@aol.com</t>
  </si>
  <si>
    <t>Saarland</t>
  </si>
  <si>
    <t>LuViMin e.V.*</t>
  </si>
  <si>
    <t>Ms. Lourdes Pfisterer
luzvimin@web.de</t>
  </si>
  <si>
    <t>Baden-Wuerttemberg</t>
  </si>
  <si>
    <t>Facebook: https://de-de.facebook.com/luvimin.3islands/</t>
  </si>
  <si>
    <t>Mindanao Solid Group Hamburg e.V. (MSG-HH e.V.)*</t>
  </si>
  <si>
    <t>Ms. Juliet S. Felgentreff, President
julietsfelgentreff@gmail.com</t>
  </si>
  <si>
    <t>Hamburg</t>
  </si>
  <si>
    <t>Facebook: https://www.facebook.com/msghamburg</t>
  </si>
  <si>
    <t>Philippine Ylang-Ylang e. V.*</t>
  </si>
  <si>
    <t>Ms. Chuchi Riegel, President
info@ylang-ylang-ev.de</t>
  </si>
  <si>
    <t>Facebook: https://www.facebook.com/Philippine-Ylang-Ylang-e-V-140532936643618</t>
  </si>
  <si>
    <t>Philippinisch-Deutscher Verein (PDV) Nordschwarzwald 1994 e. V.*</t>
  </si>
  <si>
    <t>Ms. Chuchi Riegel, President
pdv-birkenfeld@web.de</t>
  </si>
  <si>
    <t>Facebook: https://www.facebook.com/PhilippinischDeutscherVereinNordschwarzwald1994Ev/</t>
  </si>
  <si>
    <t>Silliman University Association of Alumni and Family in Europe (SUAAFE-GABS)</t>
  </si>
  <si>
    <t>Ms. Grace Ada Genge
grace@genge.biz</t>
  </si>
  <si>
    <t>Berlin</t>
  </si>
  <si>
    <t>Facebook: https://www.facebook.com/groups/silliman.germanyeurope/
(Members only)</t>
  </si>
  <si>
    <t>Study &amp; Work in Germany for Filipinos (SWGF)</t>
  </si>
  <si>
    <t>Ms. Loreen Baring-Kutz, Founder
filipinosstudyworkingermany@gmail.com</t>
  </si>
  <si>
    <t>Facebook: https://www.facebook.com/groups/studyandworkingermanyforfilipinos</t>
  </si>
  <si>
    <t>UGAT – connecting filipinx identities in Germany</t>
  </si>
  <si>
    <t>Ms. Mirjam Overhoff, Executive Director
mirjam.overhoff@philippinenbuero.de</t>
  </si>
  <si>
    <t>Facebook: https://www.facebook.com/groups/filipinosingermany</t>
  </si>
  <si>
    <t>Filipinos in Germany (FIG)</t>
  </si>
  <si>
    <t>Aileen Korb
FounderfilipinosinGermany@yahoo.com</t>
  </si>
  <si>
    <t>Hessen</t>
  </si>
  <si>
    <t>German-Filipino Friendship e.V. (Schleswig-Holstein)</t>
  </si>
  <si>
    <t>Ms. Mae Torres (Chair)
Amselweg 1
24222 Schwentinental
Telephone 0151-43251012 (Mae Torres)e-mail: mae.kuberka@t-online.de
or 0151-20712677 (Sven-Thorsten Ihde)</t>
  </si>
  <si>
    <t>SPU – Samahan ng mga Pinay in Ulm, e.V. (philippinischer Verein in Ulm)</t>
  </si>
  <si>
    <t>Ms. Joanna Tscharntke (Vice President)
Tel: 0731 97749447
Mobile: 0173 6622875
E-mail: joanna.tscharntke@gmail.com</t>
  </si>
  <si>
    <t>89075 Ulm – Mitte</t>
  </si>
  <si>
    <t>Instagram: www.instagram.com/filipinos_in_ulm</t>
  </si>
  <si>
    <t xml:space="preserve">Agency </t>
  </si>
  <si>
    <t>Url</t>
  </si>
  <si>
    <t>Juwiai</t>
  </si>
  <si>
    <t>https://list.juwai.com/</t>
  </si>
  <si>
    <t>Esales</t>
  </si>
  <si>
    <t>https://esalesinternational.com/sell-property-the-philippines/</t>
  </si>
  <si>
    <t>Rightmove Overseas</t>
  </si>
  <si>
    <t>Idealista</t>
  </si>
  <si>
    <t>Expat.com</t>
  </si>
  <si>
    <t>Has presence all ovr the world
, some posts are veery old - inactive now??
Has a classified adds secion</t>
  </si>
  <si>
    <t>Regions with sialifornia Filipino populations</t>
  </si>
  <si>
    <t>Western United States, Hawaii, especially in metropolitan areas and elsewhere as of 2010</t>
  </si>
  <si>
    <t>California</t>
  </si>
  <si>
    <t>1,651,933[2]</t>
  </si>
  <si>
    <t>Hawaii</t>
  </si>
  <si>
    <t>367,364[2]</t>
  </si>
  <si>
    <t>Texas</t>
  </si>
  <si>
    <t>194,427[2]</t>
  </si>
  <si>
    <t>Washington</t>
  </si>
  <si>
    <t>178,300[2]</t>
  </si>
  <si>
    <t>Nevada</t>
  </si>
  <si>
    <t>169,462[2]</t>
  </si>
  <si>
    <t>Illinois</t>
  </si>
  <si>
    <t>159,385[2]</t>
  </si>
  <si>
    <t>New York</t>
  </si>
  <si>
    <t>144,436[2]</t>
  </si>
  <si>
    <t>Florida</t>
  </si>
  <si>
    <t>143,481[2]</t>
  </si>
  <si>
    <t>New Jersey</t>
  </si>
  <si>
    <t>129,514[2]</t>
  </si>
  <si>
    <t>Virginia</t>
  </si>
  <si>
    <t>108,128[2]</t>
  </si>
  <si>
    <t>Agnt Comm split</t>
  </si>
  <si>
    <t>Nanay vicky</t>
  </si>
  <si>
    <t>Melissa David</t>
  </si>
  <si>
    <t>related to Nanay Vicky</t>
  </si>
  <si>
    <t>Friend of Ofelia Godoyon Tago-on</t>
  </si>
  <si>
    <t>Russel</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</si>
</sst>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m\ dd\ yyyy"/>
    <numFmt numFmtId="179" formatCode="dd\-mmm"/>
    <numFmt numFmtId="180" formatCode="ddd\ d\ mmm"/>
    <numFmt numFmtId="181" formatCode="d\ mmm"/>
    <numFmt numFmtId="182" formatCode="dmmm"/>
    <numFmt numFmtId="183" formatCode="0.0000"/>
    <numFmt numFmtId="184" formatCode="mmm\-dd\ yyyy"/>
    <numFmt numFmtId="185" formatCode="mmmm\-d\ yyyy"/>
    <numFmt numFmtId="186" formatCode="d\ mmmm"/>
    <numFmt numFmtId="187" formatCode="d/m/yyyy"/>
    <numFmt numFmtId="188" formatCode="mmm\ dd"/>
    <numFmt numFmtId="189" formatCode="d\ mmm\ yyyy"/>
  </numFmts>
  <fonts count="101">
    <font>
      <sz val="10"/>
      <color rgb="FF000000"/>
      <name val="Arial"/>
      <charset val="134"/>
      <scheme val="minor"/>
    </font>
    <font>
      <b/>
      <i/>
      <sz val="6"/>
      <color theme="1"/>
      <name val="Calibri"/>
      <charset val="134"/>
    </font>
    <font>
      <b/>
      <sz val="6"/>
      <color theme="1"/>
      <name val="Calibri"/>
      <charset val="134"/>
    </font>
    <font>
      <b/>
      <sz val="6"/>
      <color theme="1"/>
      <name val="Arial"/>
      <charset val="134"/>
    </font>
    <font>
      <sz val="6"/>
      <color theme="1"/>
      <name val="Arial"/>
      <charset val="134"/>
      <scheme val="minor"/>
    </font>
    <font>
      <sz val="6"/>
      <color theme="1"/>
      <name val="Calibri"/>
      <charset val="134"/>
    </font>
    <font>
      <sz val="6"/>
      <color theme="1"/>
      <name val="Arial"/>
      <charset val="134"/>
    </font>
    <font>
      <sz val="10"/>
      <color theme="1"/>
      <name val="Arial"/>
      <charset val="134"/>
      <scheme val="minor"/>
    </font>
    <font>
      <sz val="10"/>
      <color theme="1"/>
      <name val="Arial"/>
      <charset val="134"/>
    </font>
    <font>
      <u/>
      <sz val="6"/>
      <color rgb="FF1155CC"/>
      <name val="Arial"/>
      <charset val="134"/>
    </font>
    <font>
      <b/>
      <u/>
      <sz val="6"/>
      <color rgb="FF1155CC"/>
      <name val="Calibri"/>
      <charset val="134"/>
    </font>
    <font>
      <b/>
      <sz val="6"/>
      <color theme="1"/>
      <name val="Arial"/>
      <charset val="134"/>
      <scheme val="minor"/>
    </font>
    <font>
      <b/>
      <sz val="9"/>
      <color rgb="FF000000"/>
      <name val="Arial"/>
      <charset val="134"/>
    </font>
    <font>
      <sz val="10"/>
      <name val="Arial"/>
      <charset val="134"/>
      <scheme val="minor"/>
    </font>
    <font>
      <u/>
      <sz val="9"/>
      <color rgb="FF3366CC"/>
      <name val="Sans-serif"/>
      <charset val="134"/>
    </font>
    <font>
      <u/>
      <sz val="9"/>
      <color rgb="FF000000"/>
      <name val="Sans-serif"/>
      <charset val="134"/>
    </font>
    <font>
      <b/>
      <sz val="10"/>
      <color theme="1"/>
      <name val="Arial"/>
      <charset val="134"/>
      <scheme val="minor"/>
    </font>
    <font>
      <u/>
      <sz val="10"/>
      <color rgb="FF0000FF"/>
      <name val="Arial"/>
      <charset val="134"/>
      <scheme val="minor"/>
    </font>
    <font>
      <sz val="11"/>
      <color rgb="FF222222"/>
      <name val="Roboto"/>
      <charset val="134"/>
    </font>
    <font>
      <sz val="9"/>
      <color rgb="FF1F1F1F"/>
      <name val="&quot;Google Sans&quot;"/>
      <charset val="134"/>
    </font>
    <font>
      <b/>
      <sz val="12"/>
      <color rgb="FF4C455F"/>
      <name val="Inter"/>
      <charset val="134"/>
    </font>
    <font>
      <u/>
      <sz val="12"/>
      <color rgb="FF4C455F"/>
      <name val="Inter"/>
      <charset val="134"/>
    </font>
    <font>
      <u/>
      <sz val="12"/>
      <color rgb="FF0000FF"/>
      <name val="Inter"/>
      <charset val="134"/>
    </font>
    <font>
      <sz val="11"/>
      <color rgb="FF202122"/>
      <name val="Arial"/>
      <charset val="134"/>
    </font>
    <font>
      <u/>
      <sz val="9"/>
      <color rgb="FF1C1E21"/>
      <name val="Inherit"/>
      <charset val="134"/>
    </font>
    <font>
      <u/>
      <sz val="10"/>
      <color rgb="FF385898"/>
      <name val="Inherit"/>
      <charset val="134"/>
    </font>
    <font>
      <b/>
      <u/>
      <sz val="10"/>
      <color rgb="FF0000FF"/>
      <name val="Inherit"/>
      <charset val="134"/>
    </font>
    <font>
      <sz val="12"/>
      <color rgb="FF4C455F"/>
      <name val="Inter"/>
      <charset val="134"/>
    </font>
    <font>
      <sz val="12"/>
      <color rgb="FF000000"/>
      <name val="Inter"/>
      <charset val="134"/>
    </font>
    <font>
      <sz val="11"/>
      <color rgb="FF7A7A7A"/>
      <name val="Inherit"/>
      <charset val="134"/>
    </font>
    <font>
      <u/>
      <sz val="11"/>
      <color rgb="FF7A7A7A"/>
      <name val="Inherit"/>
      <charset val="134"/>
    </font>
    <font>
      <b/>
      <sz val="14"/>
      <color rgb="FF000000"/>
      <name val="Inherit"/>
      <charset val="134"/>
    </font>
    <font>
      <sz val="14"/>
      <color rgb="FF5B5B5B"/>
      <name val="Inherit"/>
      <charset val="134"/>
    </font>
    <font>
      <u/>
      <sz val="14"/>
      <color rgb="FF333333"/>
      <name val="Inherit"/>
      <charset val="134"/>
    </font>
    <font>
      <u/>
      <sz val="10"/>
      <color rgb="FF0000FF"/>
      <name val="Arial"/>
      <charset val="134"/>
    </font>
    <font>
      <b/>
      <sz val="11"/>
      <color rgb="FF000000"/>
      <name val="Raleway"/>
      <charset val="134"/>
    </font>
    <font>
      <sz val="11"/>
      <color rgb="FF000000"/>
      <name val="Raleway"/>
      <charset val="134"/>
    </font>
    <font>
      <u/>
      <sz val="11"/>
      <color rgb="FF000000"/>
      <name val="Raleway"/>
      <charset val="134"/>
    </font>
    <font>
      <sz val="9"/>
      <color rgb="FF5B5B5B"/>
      <name val="Roboto"/>
      <charset val="134"/>
    </font>
    <font>
      <sz val="6"/>
      <color rgb="FF1F1F1F"/>
      <name val="Google Sans"/>
      <charset val="134"/>
    </font>
    <font>
      <u/>
      <sz val="6"/>
      <color rgb="FF0000FF"/>
      <name val="Calibri"/>
      <charset val="134"/>
    </font>
    <font>
      <u/>
      <sz val="6"/>
      <color rgb="FF0000FF"/>
      <name val="Arial"/>
      <charset val="134"/>
    </font>
    <font>
      <u/>
      <sz val="6"/>
      <color rgb="FF0000FF"/>
      <name val="Arial"/>
      <charset val="134"/>
      <scheme val="minor"/>
    </font>
    <font>
      <sz val="14"/>
      <color theme="1"/>
      <name val="Arial"/>
      <charset val="134"/>
    </font>
    <font>
      <sz val="11"/>
      <color rgb="FF000000"/>
      <name val="Inter"/>
      <charset val="134"/>
    </font>
    <font>
      <b/>
      <sz val="10"/>
      <color theme="1"/>
      <name val="Calibri"/>
      <charset val="134"/>
    </font>
    <font>
      <sz val="10"/>
      <color theme="1"/>
      <name val="Calibri"/>
      <charset val="134"/>
    </font>
    <font>
      <sz val="7"/>
      <color theme="1"/>
      <name val="Calibri"/>
      <charset val="134"/>
    </font>
    <font>
      <b/>
      <sz val="7"/>
      <color theme="1"/>
      <name val="Calibri"/>
      <charset val="134"/>
    </font>
    <font>
      <u/>
      <sz val="7"/>
      <color rgb="FF0000FF"/>
      <name val="Calibri"/>
      <charset val="134"/>
    </font>
    <font>
      <sz val="7"/>
      <color rgb="FF1F1F1F"/>
      <name val="Calibri"/>
      <charset val="134"/>
    </font>
    <font>
      <sz val="7"/>
      <color rgb="FF000000"/>
      <name val="Calibri"/>
      <charset val="134"/>
    </font>
    <font>
      <u/>
      <sz val="7"/>
      <color rgb="FF0563C1"/>
      <name val="Calibri"/>
      <charset val="134"/>
    </font>
    <font>
      <u/>
      <sz val="7"/>
      <color rgb="FF1F1F1F"/>
      <name val="Calibri"/>
      <charset val="134"/>
    </font>
    <font>
      <u/>
      <sz val="7"/>
      <color theme="1"/>
      <name val="Calibri"/>
      <charset val="134"/>
    </font>
    <font>
      <b/>
      <u/>
      <sz val="7"/>
      <color rgb="FF0000FF"/>
      <name val="Calibri"/>
      <charset val="134"/>
    </font>
    <font>
      <sz val="7"/>
      <color rgb="FF080809"/>
      <name val="Calibri"/>
      <charset val="134"/>
    </font>
    <font>
      <sz val="11"/>
      <color rgb="FF080809"/>
      <name val="&quot;Segoe UI Historic&quot;"/>
      <charset val="134"/>
    </font>
    <font>
      <sz val="7"/>
      <color rgb="FF5B5B5B"/>
      <name val="Calibri"/>
      <charset val="134"/>
    </font>
    <font>
      <sz val="6"/>
      <color rgb="FFFF0000"/>
      <name val="Arial"/>
      <charset val="134"/>
    </font>
    <font>
      <sz val="6"/>
      <color rgb="FFFF0000"/>
      <name val="Calibri"/>
      <charset val="134"/>
    </font>
    <font>
      <b/>
      <sz val="10"/>
      <color rgb="FFFF0000"/>
      <name val="Calibri"/>
      <charset val="134"/>
    </font>
    <font>
      <sz val="6"/>
      <color rgb="FF1F1F1F"/>
      <name val="&quot;Google Sans&quot;"/>
      <charset val="134"/>
    </font>
    <font>
      <sz val="6"/>
      <color rgb="FFFF0000"/>
      <name val="Arial"/>
      <charset val="134"/>
      <scheme val="minor"/>
    </font>
    <font>
      <sz val="6"/>
      <color rgb="FF000000"/>
      <name val="Arial"/>
      <charset val="134"/>
    </font>
    <font>
      <sz val="6"/>
      <color rgb="FF000000"/>
      <name val="Calibri"/>
      <charset val="134"/>
    </font>
    <font>
      <u/>
      <sz val="6"/>
      <color rgb="FF1F1F1F"/>
      <name val="Google Sans Text"/>
      <charset val="134"/>
    </font>
    <font>
      <u/>
      <sz val="6"/>
      <color theme="1"/>
      <name val="Calibri"/>
      <charset val="134"/>
    </font>
    <font>
      <u/>
      <sz val="6"/>
      <color rgb="FF0563C1"/>
      <name val="Calibri"/>
      <charset val="134"/>
    </font>
    <font>
      <b/>
      <u/>
      <sz val="6"/>
      <color theme="1"/>
      <name val="Calibri"/>
      <charset val="134"/>
    </font>
    <font>
      <b/>
      <u/>
      <sz val="6"/>
      <color rgb="FF0000FF"/>
      <name val="Calibri"/>
      <charset val="134"/>
    </font>
    <font>
      <sz val="6"/>
      <color rgb="FF5B5B5B"/>
      <name val="Roboto"/>
      <charset val="134"/>
    </font>
    <font>
      <sz val="11"/>
      <color rgb="FF000000"/>
      <name val="Roboto"/>
      <charset val="134"/>
    </font>
    <font>
      <sz val="10"/>
      <color rgb="FFFF0000"/>
      <name val="Arial"/>
      <charset val="134"/>
      <scheme val="minor"/>
    </font>
    <font>
      <sz val="10"/>
      <color rgb="FFFF0000"/>
      <name val="Arial"/>
      <charset val="134"/>
    </font>
    <font>
      <sz val="6"/>
      <color rgb="FF000000"/>
      <name val="Arial"/>
      <charset val="134"/>
      <scheme val="minor"/>
    </font>
    <font>
      <u/>
      <sz val="6"/>
      <color rgb="FF000000"/>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7"/>
      <color rgb="FF1155CC"/>
      <name val="Calibri"/>
      <charset val="134"/>
    </font>
    <font>
      <sz val="6"/>
      <name val="Arial"/>
      <charset val="134"/>
    </font>
    <font>
      <sz val="7"/>
      <name val="Calibri"/>
      <charset val="134"/>
    </font>
    <font>
      <sz val="7"/>
      <color rgb="FF0202FF"/>
      <name val="Calibri"/>
      <charset val="134"/>
    </font>
  </fonts>
  <fills count="53">
    <fill>
      <patternFill patternType="none"/>
    </fill>
    <fill>
      <patternFill patternType="gray125"/>
    </fill>
    <fill>
      <patternFill patternType="solid">
        <fgColor rgb="FF6AA84F"/>
        <bgColor rgb="FF6AA84F"/>
      </patternFill>
    </fill>
    <fill>
      <patternFill patternType="solid">
        <fgColor rgb="FFFFF2CC"/>
        <bgColor rgb="FFFFF2CC"/>
      </patternFill>
    </fill>
    <fill>
      <patternFill patternType="solid">
        <fgColor rgb="FFFFFFFF"/>
        <bgColor rgb="FFFFFFFF"/>
      </patternFill>
    </fill>
    <fill>
      <patternFill patternType="solid">
        <fgColor rgb="FFB0C4DE"/>
        <bgColor rgb="FFB0C4DE"/>
      </patternFill>
    </fill>
    <fill>
      <patternFill patternType="solid">
        <fgColor rgb="FFF8F9FA"/>
        <bgColor rgb="FFF8F9FA"/>
      </patternFill>
    </fill>
    <fill>
      <patternFill patternType="solid">
        <fgColor rgb="FFFFD966"/>
        <bgColor rgb="FFFFD966"/>
      </patternFill>
    </fill>
    <fill>
      <patternFill patternType="solid">
        <fgColor rgb="FFF4CCCC"/>
        <bgColor rgb="FFF4CCCC"/>
      </patternFill>
    </fill>
    <fill>
      <patternFill patternType="solid">
        <fgColor rgb="FFFFE599"/>
        <bgColor rgb="FFFFE599"/>
      </patternFill>
    </fill>
    <fill>
      <patternFill patternType="solid">
        <fgColor rgb="FFF6B26B"/>
        <bgColor rgb="FFF6B26B"/>
      </patternFill>
    </fill>
    <fill>
      <patternFill patternType="solid">
        <fgColor rgb="FFFF9900"/>
        <bgColor rgb="FFFF9900"/>
      </patternFill>
    </fill>
    <fill>
      <patternFill patternType="solid">
        <fgColor rgb="FFF1C232"/>
        <bgColor rgb="FFF1C232"/>
      </patternFill>
    </fill>
    <fill>
      <patternFill patternType="solid">
        <fgColor rgb="FFB6D7A8"/>
        <bgColor rgb="FFB6D7A8"/>
      </patternFill>
    </fill>
    <fill>
      <patternFill patternType="solid">
        <fgColor rgb="FFFCE5CD"/>
        <bgColor rgb="FFFCE5CD"/>
      </patternFill>
    </fill>
    <fill>
      <patternFill patternType="solid">
        <fgColor rgb="FFEFEFEF"/>
        <bgColor rgb="FFEFEFEF"/>
      </patternFill>
    </fill>
    <fill>
      <patternFill patternType="solid">
        <fgColor rgb="FFFFFF00"/>
        <bgColor rgb="FFFFFF00"/>
      </patternFill>
    </fill>
    <fill>
      <patternFill patternType="solid">
        <fgColor rgb="FFD9EAD3"/>
        <bgColor rgb="FFD9EAD3"/>
      </patternFill>
    </fill>
    <fill>
      <patternFill patternType="solid">
        <fgColor rgb="FFCFE2F3"/>
        <bgColor rgb="FFCFE2F3"/>
      </patternFill>
    </fill>
    <fill>
      <patternFill patternType="solid">
        <fgColor rgb="FF00FFFF"/>
        <bgColor rgb="FF00FFFF"/>
      </patternFill>
    </fill>
    <fill>
      <patternFill patternType="solid">
        <fgColor rgb="FFD0E0E3"/>
        <bgColor rgb="FFD0E0E3"/>
      </patternFill>
    </fill>
    <fill>
      <patternFill patternType="solid">
        <fgColor rgb="FFD9D9D9"/>
        <bgColor rgb="FFD9D9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thin">
        <color rgb="FFA2A9B1"/>
      </left>
      <right/>
      <top style="thin">
        <color rgb="FFA2A9B1"/>
      </top>
      <bottom style="thin">
        <color rgb="FFA2A9B1"/>
      </bottom>
      <diagonal/>
    </border>
    <border>
      <left/>
      <right style="thin">
        <color rgb="FFA2A9B1"/>
      </right>
      <top style="thin">
        <color rgb="FFA2A9B1"/>
      </top>
      <bottom style="thin">
        <color rgb="FFA2A9B1"/>
      </bottom>
      <diagonal/>
    </border>
    <border>
      <left style="thin">
        <color rgb="FFA2A9B1"/>
      </left>
      <right style="thin">
        <color rgb="FFA2A9B1"/>
      </right>
      <top style="thin">
        <color rgb="FFA2A9B1"/>
      </top>
      <bottom style="thin">
        <color rgb="FFA2A9B1"/>
      </bottom>
      <diagonal/>
    </border>
    <border>
      <left/>
      <right/>
      <top/>
      <bottom style="thin">
        <color rgb="FF11111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7" fillId="0" borderId="0" applyFont="0" applyFill="0" applyBorder="0" applyAlignment="0" applyProtection="0">
      <alignment vertical="center"/>
    </xf>
    <xf numFmtId="44" fontId="77" fillId="0" borderId="0" applyFont="0" applyFill="0" applyBorder="0" applyAlignment="0" applyProtection="0">
      <alignment vertical="center"/>
    </xf>
    <xf numFmtId="9" fontId="77" fillId="0" borderId="0" applyFont="0" applyFill="0" applyBorder="0" applyAlignment="0" applyProtection="0">
      <alignment vertical="center"/>
    </xf>
    <xf numFmtId="177" fontId="77" fillId="0" borderId="0" applyFont="0" applyFill="0" applyBorder="0" applyAlignment="0" applyProtection="0">
      <alignment vertical="center"/>
    </xf>
    <xf numFmtId="42" fontId="77" fillId="0" borderId="0" applyFont="0" applyFill="0" applyBorder="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7" fillId="22" borderId="27" applyNumberFormat="0" applyFon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28" applyNumberFormat="0" applyFill="0" applyAlignment="0" applyProtection="0">
      <alignment vertical="center"/>
    </xf>
    <xf numFmtId="0" fontId="84" fillId="0" borderId="28" applyNumberFormat="0" applyFill="0" applyAlignment="0" applyProtection="0">
      <alignment vertical="center"/>
    </xf>
    <xf numFmtId="0" fontId="85" fillId="0" borderId="29" applyNumberFormat="0" applyFill="0" applyAlignment="0" applyProtection="0">
      <alignment vertical="center"/>
    </xf>
    <xf numFmtId="0" fontId="85" fillId="0" borderId="0" applyNumberFormat="0" applyFill="0" applyBorder="0" applyAlignment="0" applyProtection="0">
      <alignment vertical="center"/>
    </xf>
    <xf numFmtId="0" fontId="86" fillId="23" borderId="30" applyNumberFormat="0" applyAlignment="0" applyProtection="0">
      <alignment vertical="center"/>
    </xf>
    <xf numFmtId="0" fontId="87" fillId="24" borderId="31" applyNumberFormat="0" applyAlignment="0" applyProtection="0">
      <alignment vertical="center"/>
    </xf>
    <xf numFmtId="0" fontId="88" fillId="24" borderId="30" applyNumberFormat="0" applyAlignment="0" applyProtection="0">
      <alignment vertical="center"/>
    </xf>
    <xf numFmtId="0" fontId="89" fillId="25" borderId="32" applyNumberFormat="0" applyAlignment="0" applyProtection="0">
      <alignment vertical="center"/>
    </xf>
    <xf numFmtId="0" fontId="90" fillId="0" borderId="33" applyNumberFormat="0" applyFill="0" applyAlignment="0" applyProtection="0">
      <alignment vertical="center"/>
    </xf>
    <xf numFmtId="0" fontId="91" fillId="0" borderId="34" applyNumberFormat="0" applyFill="0" applyAlignment="0" applyProtection="0">
      <alignment vertical="center"/>
    </xf>
    <xf numFmtId="0" fontId="92" fillId="26" borderId="0" applyNumberFormat="0" applyBorder="0" applyAlignment="0" applyProtection="0">
      <alignment vertical="center"/>
    </xf>
    <xf numFmtId="0" fontId="93" fillId="27" borderId="0" applyNumberFormat="0" applyBorder="0" applyAlignment="0" applyProtection="0">
      <alignment vertical="center"/>
    </xf>
    <xf numFmtId="0" fontId="94" fillId="28" borderId="0" applyNumberFormat="0" applyBorder="0" applyAlignment="0" applyProtection="0">
      <alignment vertical="center"/>
    </xf>
    <xf numFmtId="0" fontId="95" fillId="29" borderId="0" applyNumberFormat="0" applyBorder="0" applyAlignment="0" applyProtection="0">
      <alignment vertical="center"/>
    </xf>
    <xf numFmtId="0" fontId="96" fillId="30" borderId="0" applyNumberFormat="0" applyBorder="0" applyAlignment="0" applyProtection="0">
      <alignment vertical="center"/>
    </xf>
    <xf numFmtId="0" fontId="96" fillId="31" borderId="0" applyNumberFormat="0" applyBorder="0" applyAlignment="0" applyProtection="0">
      <alignment vertical="center"/>
    </xf>
    <xf numFmtId="0" fontId="95" fillId="32" borderId="0" applyNumberFormat="0" applyBorder="0" applyAlignment="0" applyProtection="0">
      <alignment vertical="center"/>
    </xf>
    <xf numFmtId="0" fontId="95" fillId="33" borderId="0" applyNumberFormat="0" applyBorder="0" applyAlignment="0" applyProtection="0">
      <alignment vertical="center"/>
    </xf>
    <xf numFmtId="0" fontId="96" fillId="34" borderId="0" applyNumberFormat="0" applyBorder="0" applyAlignment="0" applyProtection="0">
      <alignment vertical="center"/>
    </xf>
    <xf numFmtId="0" fontId="96" fillId="35" borderId="0" applyNumberFormat="0" applyBorder="0" applyAlignment="0" applyProtection="0">
      <alignment vertical="center"/>
    </xf>
    <xf numFmtId="0" fontId="95" fillId="36" borderId="0" applyNumberFormat="0" applyBorder="0" applyAlignment="0" applyProtection="0">
      <alignment vertical="center"/>
    </xf>
    <xf numFmtId="0" fontId="95" fillId="37" borderId="0" applyNumberFormat="0" applyBorder="0" applyAlignment="0" applyProtection="0">
      <alignment vertical="center"/>
    </xf>
    <xf numFmtId="0" fontId="96" fillId="38" borderId="0" applyNumberFormat="0" applyBorder="0" applyAlignment="0" applyProtection="0">
      <alignment vertical="center"/>
    </xf>
    <xf numFmtId="0" fontId="96" fillId="39" borderId="0" applyNumberFormat="0" applyBorder="0" applyAlignment="0" applyProtection="0">
      <alignment vertical="center"/>
    </xf>
    <xf numFmtId="0" fontId="95" fillId="40" borderId="0" applyNumberFormat="0" applyBorder="0" applyAlignment="0" applyProtection="0">
      <alignment vertical="center"/>
    </xf>
    <xf numFmtId="0" fontId="95" fillId="41" borderId="0" applyNumberFormat="0" applyBorder="0" applyAlignment="0" applyProtection="0">
      <alignment vertical="center"/>
    </xf>
    <xf numFmtId="0" fontId="96" fillId="42" borderId="0" applyNumberFormat="0" applyBorder="0" applyAlignment="0" applyProtection="0">
      <alignment vertical="center"/>
    </xf>
    <xf numFmtId="0" fontId="96" fillId="43" borderId="0" applyNumberFormat="0" applyBorder="0" applyAlignment="0" applyProtection="0">
      <alignment vertical="center"/>
    </xf>
    <xf numFmtId="0" fontId="95" fillId="44" borderId="0" applyNumberFormat="0" applyBorder="0" applyAlignment="0" applyProtection="0">
      <alignment vertical="center"/>
    </xf>
    <xf numFmtId="0" fontId="95" fillId="45" borderId="0" applyNumberFormat="0" applyBorder="0" applyAlignment="0" applyProtection="0">
      <alignment vertical="center"/>
    </xf>
    <xf numFmtId="0" fontId="96" fillId="46" borderId="0" applyNumberFormat="0" applyBorder="0" applyAlignment="0" applyProtection="0">
      <alignment vertical="center"/>
    </xf>
    <xf numFmtId="0" fontId="96" fillId="47" borderId="0" applyNumberFormat="0" applyBorder="0" applyAlignment="0" applyProtection="0">
      <alignment vertical="center"/>
    </xf>
    <xf numFmtId="0" fontId="95" fillId="48" borderId="0" applyNumberFormat="0" applyBorder="0" applyAlignment="0" applyProtection="0">
      <alignment vertical="center"/>
    </xf>
    <xf numFmtId="0" fontId="95" fillId="49" borderId="0" applyNumberFormat="0" applyBorder="0" applyAlignment="0" applyProtection="0">
      <alignment vertical="center"/>
    </xf>
    <xf numFmtId="0" fontId="96" fillId="50" borderId="0" applyNumberFormat="0" applyBorder="0" applyAlignment="0" applyProtection="0">
      <alignment vertical="center"/>
    </xf>
    <xf numFmtId="0" fontId="96" fillId="51" borderId="0" applyNumberFormat="0" applyBorder="0" applyAlignment="0" applyProtection="0">
      <alignment vertical="center"/>
    </xf>
    <xf numFmtId="0" fontId="95" fillId="52" borderId="0" applyNumberFormat="0" applyBorder="0" applyAlignment="0" applyProtection="0">
      <alignment vertical="center"/>
    </xf>
  </cellStyleXfs>
  <cellXfs count="343">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2" fillId="0" borderId="0" xfId="0" applyFont="1" applyAlignment="1">
      <alignment wrapText="1"/>
    </xf>
    <xf numFmtId="0" fontId="4" fillId="0" borderId="0" xfId="0" applyFont="1" applyAlignment="1"/>
    <xf numFmtId="0" fontId="5" fillId="0" borderId="0" xfId="0" applyFont="1" applyAlignment="1"/>
    <xf numFmtId="0" fontId="4" fillId="0" borderId="0" xfId="0" applyFont="1"/>
    <xf numFmtId="0" fontId="6" fillId="0" borderId="0" xfId="0" applyFont="1" applyAlignment="1"/>
    <xf numFmtId="0" fontId="7" fillId="0" borderId="0" xfId="0" applyFont="1" applyAlignment="1"/>
    <xf numFmtId="0" fontId="5" fillId="0" borderId="0" xfId="0" applyFont="1" applyAlignment="1">
      <alignment horizontal="right"/>
    </xf>
    <xf numFmtId="16" fontId="8" fillId="0" borderId="0" xfId="0" applyNumberFormat="1" applyFont="1" applyAlignment="1"/>
    <xf numFmtId="0" fontId="8" fillId="0" borderId="0" xfId="0" applyFont="1" applyAlignment="1"/>
    <xf numFmtId="0" fontId="2" fillId="0" borderId="0" xfId="0" applyFont="1" applyAlignment="1">
      <alignment horizontal="right"/>
    </xf>
    <xf numFmtId="0" fontId="6" fillId="2" borderId="0" xfId="0" applyFont="1" applyFill="1" applyAlignment="1"/>
    <xf numFmtId="0" fontId="9" fillId="0" borderId="0" xfId="0" applyFont="1" applyAlignment="1"/>
    <xf numFmtId="0" fontId="10" fillId="0" borderId="0" xfId="0" applyFont="1" applyAlignment="1"/>
    <xf numFmtId="0" fontId="2" fillId="3" borderId="0" xfId="0" applyFont="1" applyFill="1" applyAlignment="1"/>
    <xf numFmtId="178" fontId="2" fillId="0" borderId="0" xfId="0" applyNumberFormat="1" applyFont="1" applyAlignment="1">
      <alignment horizontal="right"/>
    </xf>
    <xf numFmtId="16" fontId="5" fillId="3" borderId="0" xfId="0" applyNumberFormat="1" applyFont="1" applyFill="1" applyAlignment="1">
      <alignment horizontal="right"/>
    </xf>
    <xf numFmtId="16" fontId="5" fillId="0" borderId="0" xfId="0" applyNumberFormat="1" applyFont="1" applyAlignment="1">
      <alignment horizontal="right"/>
    </xf>
    <xf numFmtId="16" fontId="8" fillId="3" borderId="0" xfId="0" applyNumberFormat="1" applyFont="1" applyFill="1" applyAlignment="1"/>
    <xf numFmtId="0" fontId="8" fillId="4" borderId="0" xfId="0" applyFont="1" applyFill="1" applyAlignment="1"/>
    <xf numFmtId="0" fontId="2" fillId="3" borderId="0" xfId="0" applyFont="1" applyFill="1" applyAlignment="1">
      <alignment horizontal="right"/>
    </xf>
    <xf numFmtId="179" fontId="8" fillId="0" borderId="0" xfId="0" applyNumberFormat="1" applyFont="1" applyAlignment="1"/>
    <xf numFmtId="178" fontId="2" fillId="0" borderId="0" xfId="0" applyNumberFormat="1" applyFont="1" applyAlignment="1"/>
    <xf numFmtId="16" fontId="6" fillId="0" borderId="0" xfId="0" applyNumberFormat="1" applyFont="1" applyAlignment="1"/>
    <xf numFmtId="180" fontId="8" fillId="0" borderId="0" xfId="0" applyNumberFormat="1" applyFont="1" applyAlignment="1"/>
    <xf numFmtId="179" fontId="6" fillId="0" borderId="0" xfId="0" applyNumberFormat="1" applyFont="1" applyAlignment="1"/>
    <xf numFmtId="0" fontId="11" fillId="0" borderId="0" xfId="0" applyFont="1"/>
    <xf numFmtId="0" fontId="12" fillId="5" borderId="1" xfId="0" applyFont="1" applyFill="1" applyBorder="1" applyAlignment="1">
      <alignment horizontal="center" vertical="top"/>
    </xf>
    <xf numFmtId="0" fontId="13" fillId="0" borderId="2" xfId="0" applyFont="1" applyBorder="1"/>
    <xf numFmtId="0" fontId="14" fillId="0" borderId="1" xfId="0" applyFont="1" applyBorder="1" applyAlignment="1">
      <alignment horizontal="center" vertical="top" wrapText="1"/>
    </xf>
    <xf numFmtId="0" fontId="14" fillId="0" borderId="3" xfId="0" applyFont="1" applyBorder="1" applyAlignment="1">
      <alignment horizontal="left" vertical="top" wrapText="1"/>
    </xf>
    <xf numFmtId="0" fontId="15" fillId="6" borderId="3" xfId="0" applyFont="1" applyFill="1" applyBorder="1" applyAlignment="1">
      <alignment horizontal="left" vertical="top"/>
    </xf>
    <xf numFmtId="0" fontId="16" fillId="0" borderId="0" xfId="0" applyFont="1" applyAlignment="1"/>
    <xf numFmtId="0" fontId="16" fillId="0" borderId="0" xfId="0" applyFont="1"/>
    <xf numFmtId="0" fontId="17" fillId="0" borderId="0" xfId="0" applyFont="1" applyAlignment="1"/>
    <xf numFmtId="0" fontId="18" fillId="4" borderId="0" xfId="0" applyFont="1" applyFill="1" applyAlignment="1">
      <alignment horizontal="left"/>
    </xf>
    <xf numFmtId="0" fontId="19" fillId="4" borderId="0" xfId="0" applyFont="1" applyFill="1" applyAlignment="1"/>
    <xf numFmtId="0" fontId="20" fillId="0" borderId="0" xfId="0" applyFont="1" applyAlignment="1">
      <alignment horizontal="left"/>
    </xf>
    <xf numFmtId="0" fontId="16" fillId="0" borderId="0" xfId="0" applyFont="1" applyAlignment="1">
      <alignment wrapText="1"/>
    </xf>
    <xf numFmtId="0" fontId="16" fillId="0" borderId="0" xfId="0" applyFont="1" applyAlignment="1">
      <alignment horizontal="left"/>
    </xf>
    <xf numFmtId="0" fontId="21" fillId="0" borderId="0" xfId="0" applyFont="1" applyAlignment="1">
      <alignment horizontal="left"/>
    </xf>
    <xf numFmtId="0" fontId="7" fillId="0" borderId="0" xfId="0" applyFont="1" applyAlignment="1">
      <alignment wrapText="1"/>
    </xf>
    <xf numFmtId="0" fontId="7" fillId="0" borderId="0" xfId="0" applyFont="1" applyAlignment="1">
      <alignment horizontal="left"/>
    </xf>
    <xf numFmtId="0" fontId="22" fillId="0" borderId="0" xfId="0" applyFont="1" applyAlignment="1">
      <alignment horizontal="left"/>
    </xf>
    <xf numFmtId="0" fontId="23" fillId="4" borderId="0" xfId="0" applyFont="1" applyFill="1" applyAlignment="1">
      <alignment horizontal="left"/>
    </xf>
    <xf numFmtId="0" fontId="23" fillId="4" borderId="0" xfId="0" applyFont="1" applyFill="1" applyAlignment="1">
      <alignment horizontal="left" wrapText="1"/>
    </xf>
    <xf numFmtId="0" fontId="24" fillId="0" borderId="0" xfId="0" applyFont="1" applyAlignment="1">
      <alignment horizontal="left"/>
    </xf>
    <xf numFmtId="0" fontId="24" fillId="0" borderId="0" xfId="0" applyFont="1" applyAlignment="1"/>
    <xf numFmtId="0" fontId="25" fillId="0" borderId="0" xfId="0" applyFont="1" applyAlignment="1">
      <alignment horizontal="left" wrapText="1"/>
    </xf>
    <xf numFmtId="0" fontId="26" fillId="0" borderId="0" xfId="0" applyFont="1" applyAlignment="1">
      <alignment horizontal="left" wrapText="1"/>
    </xf>
    <xf numFmtId="0" fontId="27" fillId="0" borderId="0" xfId="0" applyFont="1" applyAlignment="1">
      <alignment horizontal="left"/>
    </xf>
    <xf numFmtId="0" fontId="28" fillId="0" borderId="0" xfId="0" applyFont="1" applyAlignment="1">
      <alignment horizontal="left"/>
    </xf>
    <xf numFmtId="0" fontId="17" fillId="0" borderId="0" xfId="0" applyFont="1" applyAlignment="1">
      <alignment horizontal="left"/>
    </xf>
    <xf numFmtId="0" fontId="29" fillId="0" borderId="4" xfId="0" applyFont="1" applyBorder="1" applyAlignment="1">
      <alignment horizontal="left"/>
    </xf>
    <xf numFmtId="0" fontId="29" fillId="0" borderId="0" xfId="0" applyFont="1" applyAlignment="1">
      <alignment horizontal="center"/>
    </xf>
    <xf numFmtId="0" fontId="29" fillId="0" borderId="4" xfId="0" applyFont="1" applyBorder="1" applyAlignment="1">
      <alignment horizontal="center"/>
    </xf>
    <xf numFmtId="0" fontId="30" fillId="0" borderId="4" xfId="0" applyFont="1" applyBorder="1" applyAlignment="1">
      <alignment horizontal="left"/>
    </xf>
    <xf numFmtId="0" fontId="7" fillId="0" borderId="0" xfId="0" applyFont="1"/>
    <xf numFmtId="0" fontId="29" fillId="0" borderId="0" xfId="0" applyFont="1" applyAlignment="1">
      <alignment horizontal="left"/>
    </xf>
    <xf numFmtId="0" fontId="29" fillId="0" borderId="4" xfId="0" applyFont="1" applyBorder="1" applyAlignment="1">
      <alignment horizontal="left" vertical="top"/>
    </xf>
    <xf numFmtId="0" fontId="29" fillId="0" borderId="0" xfId="0" applyFont="1" applyAlignment="1">
      <alignment horizontal="left" vertical="top"/>
    </xf>
    <xf numFmtId="0" fontId="31" fillId="0" borderId="0" xfId="0" applyFont="1" applyAlignment="1">
      <alignment horizontal="left" vertical="top"/>
    </xf>
    <xf numFmtId="0" fontId="32" fillId="0" borderId="4" xfId="0" applyFont="1" applyBorder="1" applyAlignment="1">
      <alignment horizontal="left" vertical="top"/>
    </xf>
    <xf numFmtId="0" fontId="30" fillId="0" borderId="4" xfId="0" applyFont="1" applyBorder="1" applyAlignment="1">
      <alignment horizontal="left" vertical="top"/>
    </xf>
    <xf numFmtId="0" fontId="31" fillId="0" borderId="4" xfId="0" applyFont="1" applyBorder="1" applyAlignment="1">
      <alignment horizontal="left" vertical="top"/>
    </xf>
    <xf numFmtId="0" fontId="33" fillId="0" borderId="4" xfId="0" applyFont="1" applyBorder="1" applyAlignment="1">
      <alignment horizontal="left"/>
    </xf>
    <xf numFmtId="0" fontId="34" fillId="4" borderId="0" xfId="0" applyFont="1" applyFill="1" applyAlignment="1">
      <alignment horizontal="left"/>
    </xf>
    <xf numFmtId="0" fontId="35" fillId="4" borderId="0" xfId="0" applyFont="1" applyFill="1" applyAlignment="1"/>
    <xf numFmtId="0" fontId="36" fillId="4" borderId="0" xfId="0" applyFont="1" applyFill="1" applyAlignment="1"/>
    <xf numFmtId="0" fontId="37" fillId="4" borderId="0" xfId="0" applyFont="1" applyFill="1" applyAlignment="1"/>
    <xf numFmtId="0" fontId="36" fillId="4" borderId="0" xfId="0" applyFont="1" applyFill="1"/>
    <xf numFmtId="0" fontId="3" fillId="0" borderId="0" xfId="0" applyFont="1" applyAlignment="1">
      <alignment horizontal="right"/>
    </xf>
    <xf numFmtId="9" fontId="2" fillId="0" borderId="0" xfId="0" applyNumberFormat="1" applyFont="1" applyAlignment="1">
      <alignment horizontal="right"/>
    </xf>
    <xf numFmtId="9" fontId="6" fillId="0" borderId="0" xfId="0" applyNumberFormat="1" applyFont="1" applyAlignment="1"/>
    <xf numFmtId="0" fontId="3" fillId="7" borderId="0" xfId="0" applyFont="1" applyFill="1" applyAlignment="1"/>
    <xf numFmtId="0" fontId="5" fillId="7" borderId="0" xfId="0" applyFont="1" applyFill="1" applyAlignment="1"/>
    <xf numFmtId="0" fontId="6" fillId="7" borderId="0" xfId="0" applyFont="1" applyFill="1" applyAlignment="1"/>
    <xf numFmtId="0" fontId="5" fillId="7" borderId="0" xfId="0" applyFont="1" applyFill="1" applyAlignment="1">
      <alignment horizontal="right"/>
    </xf>
    <xf numFmtId="0" fontId="2" fillId="7" borderId="0" xfId="0" applyFont="1" applyFill="1" applyAlignment="1"/>
    <xf numFmtId="0" fontId="5" fillId="3" borderId="0" xfId="0" applyFont="1" applyFill="1" applyAlignment="1"/>
    <xf numFmtId="0" fontId="6" fillId="3" borderId="0" xfId="0" applyFont="1" applyFill="1" applyAlignment="1"/>
    <xf numFmtId="0" fontId="5" fillId="8" borderId="0" xfId="0" applyFont="1" applyFill="1" applyAlignment="1"/>
    <xf numFmtId="179" fontId="6" fillId="8" borderId="0" xfId="0" applyNumberFormat="1" applyFont="1" applyFill="1" applyAlignment="1"/>
    <xf numFmtId="0" fontId="6" fillId="8" borderId="0" xfId="0" applyFont="1" applyFill="1" applyAlignment="1"/>
    <xf numFmtId="0" fontId="5" fillId="9" borderId="0" xfId="0" applyFont="1" applyFill="1" applyAlignment="1"/>
    <xf numFmtId="0" fontId="4" fillId="9" borderId="0" xfId="0" applyFont="1" applyFill="1" applyAlignment="1"/>
    <xf numFmtId="0" fontId="4" fillId="9" borderId="0" xfId="0" applyFont="1" applyFill="1"/>
    <xf numFmtId="0" fontId="6" fillId="10" borderId="0" xfId="0" applyFont="1" applyFill="1" applyAlignment="1"/>
    <xf numFmtId="0" fontId="5" fillId="10" borderId="0" xfId="0" applyFont="1" applyFill="1" applyAlignment="1"/>
    <xf numFmtId="0" fontId="5" fillId="10" borderId="0" xfId="0" applyFont="1" applyFill="1" applyAlignment="1">
      <alignment horizontal="right"/>
    </xf>
    <xf numFmtId="0" fontId="6" fillId="11" borderId="0" xfId="0" applyFont="1" applyFill="1" applyAlignment="1"/>
    <xf numFmtId="0" fontId="5" fillId="11" borderId="0" xfId="0" applyFont="1" applyFill="1" applyAlignment="1"/>
    <xf numFmtId="16" fontId="5" fillId="11" borderId="0" xfId="0" applyNumberFormat="1" applyFont="1" applyFill="1" applyAlignment="1">
      <alignment horizontal="right"/>
    </xf>
    <xf numFmtId="179" fontId="6" fillId="11" borderId="0" xfId="0" applyNumberFormat="1" applyFont="1" applyFill="1" applyAlignment="1"/>
    <xf numFmtId="0" fontId="6" fillId="12" borderId="0" xfId="0" applyFont="1" applyFill="1" applyAlignment="1"/>
    <xf numFmtId="0" fontId="5" fillId="12" borderId="0" xfId="0" applyFont="1" applyFill="1" applyAlignment="1"/>
    <xf numFmtId="0" fontId="5" fillId="12" borderId="0" xfId="0" applyFont="1" applyFill="1" applyAlignment="1">
      <alignment horizontal="right"/>
    </xf>
    <xf numFmtId="0" fontId="2" fillId="12" borderId="0" xfId="0" applyFont="1" applyFill="1" applyAlignment="1"/>
    <xf numFmtId="0" fontId="6" fillId="0" borderId="0" xfId="0" applyFont="1"/>
    <xf numFmtId="0" fontId="2" fillId="13" borderId="0" xfId="0" applyFont="1" applyFill="1" applyAlignment="1"/>
    <xf numFmtId="0" fontId="6" fillId="13" borderId="0" xfId="0" applyFont="1" applyFill="1" applyAlignment="1"/>
    <xf numFmtId="0" fontId="4" fillId="7" borderId="0" xfId="0" applyFont="1" applyFill="1"/>
    <xf numFmtId="0" fontId="38" fillId="7" borderId="0" xfId="0" applyFont="1" applyFill="1" applyAlignment="1"/>
    <xf numFmtId="0" fontId="39" fillId="3" borderId="0" xfId="0" applyFont="1" applyFill="1" applyAlignment="1"/>
    <xf numFmtId="0" fontId="5" fillId="13" borderId="0" xfId="0" applyFont="1" applyFill="1" applyAlignment="1"/>
    <xf numFmtId="0" fontId="40" fillId="8" borderId="0" xfId="0" applyFont="1" applyFill="1" applyAlignment="1"/>
    <xf numFmtId="0" fontId="2" fillId="8" borderId="0" xfId="0" applyFont="1" applyFill="1" applyAlignment="1"/>
    <xf numFmtId="0" fontId="41" fillId="8" borderId="0" xfId="0" applyFont="1" applyFill="1" applyAlignment="1"/>
    <xf numFmtId="0" fontId="42" fillId="9" borderId="0" xfId="0" applyFont="1" applyFill="1" applyAlignment="1"/>
    <xf numFmtId="0" fontId="4" fillId="10" borderId="0" xfId="0" applyFont="1" applyFill="1"/>
    <xf numFmtId="0" fontId="41" fillId="10" borderId="0" xfId="0" applyFont="1" applyFill="1" applyAlignment="1"/>
    <xf numFmtId="0" fontId="7" fillId="10" borderId="0" xfId="0" applyFont="1" applyFill="1"/>
    <xf numFmtId="0" fontId="41" fillId="11" borderId="0" xfId="0" applyFont="1" applyFill="1" applyAlignment="1"/>
    <xf numFmtId="0" fontId="4" fillId="12" borderId="0" xfId="0" applyFont="1" applyFill="1"/>
    <xf numFmtId="0" fontId="7" fillId="12" borderId="0" xfId="0" applyFont="1" applyFill="1"/>
    <xf numFmtId="0" fontId="42" fillId="12" borderId="0" xfId="0" applyFont="1" applyFill="1" applyAlignment="1"/>
    <xf numFmtId="16" fontId="5" fillId="7" borderId="0" xfId="0" applyNumberFormat="1" applyFont="1" applyFill="1" applyAlignment="1">
      <alignment horizontal="right"/>
    </xf>
    <xf numFmtId="181" fontId="4" fillId="9" borderId="0" xfId="0" applyNumberFormat="1" applyFont="1" applyFill="1" applyAlignment="1"/>
    <xf numFmtId="182" fontId="6" fillId="8" borderId="0" xfId="0" applyNumberFormat="1" applyFont="1" applyFill="1" applyAlignment="1"/>
    <xf numFmtId="181" fontId="6" fillId="8" borderId="0" xfId="0" applyNumberFormat="1" applyFont="1" applyFill="1" applyAlignment="1"/>
    <xf numFmtId="16" fontId="5" fillId="10" borderId="0" xfId="0" applyNumberFormat="1" applyFont="1" applyFill="1" applyAlignment="1">
      <alignment horizontal="right"/>
    </xf>
    <xf numFmtId="0" fontId="4" fillId="10" borderId="0" xfId="0" applyFont="1" applyFill="1" applyAlignment="1"/>
    <xf numFmtId="0" fontId="4" fillId="11" borderId="0" xfId="0" applyFont="1" applyFill="1"/>
    <xf numFmtId="16" fontId="5" fillId="12" borderId="0" xfId="0" applyNumberFormat="1" applyFont="1" applyFill="1" applyAlignment="1">
      <alignment horizontal="right"/>
    </xf>
    <xf numFmtId="0" fontId="4" fillId="12" borderId="0" xfId="0" applyFont="1" applyFill="1" applyAlignment="1"/>
    <xf numFmtId="179" fontId="5" fillId="7" borderId="0" xfId="0" applyNumberFormat="1" applyFont="1" applyFill="1" applyAlignment="1">
      <alignment horizontal="right"/>
    </xf>
    <xf numFmtId="180" fontId="2" fillId="7" borderId="0" xfId="0" applyNumberFormat="1" applyFont="1" applyFill="1" applyAlignment="1">
      <alignment horizontal="right"/>
    </xf>
    <xf numFmtId="183" fontId="43" fillId="0" borderId="5" xfId="0" applyNumberFormat="1" applyFont="1" applyBorder="1" applyAlignment="1">
      <alignment horizontal="center"/>
    </xf>
    <xf numFmtId="0" fontId="13" fillId="0" borderId="6" xfId="0" applyFont="1" applyBorder="1"/>
    <xf numFmtId="0" fontId="13" fillId="0" borderId="7" xfId="0" applyFont="1" applyBorder="1"/>
    <xf numFmtId="0" fontId="7" fillId="0" borderId="5" xfId="0" applyFont="1" applyBorder="1"/>
    <xf numFmtId="183" fontId="43" fillId="0" borderId="6" xfId="0" applyNumberFormat="1" applyFont="1" applyBorder="1"/>
    <xf numFmtId="0" fontId="7" fillId="0" borderId="6" xfId="0" applyFont="1" applyBorder="1"/>
    <xf numFmtId="0" fontId="7" fillId="0" borderId="7" xfId="0" applyFont="1" applyBorder="1"/>
    <xf numFmtId="0" fontId="43" fillId="0" borderId="8" xfId="0" applyFont="1" applyBorder="1" applyAlignment="1">
      <alignment horizontal="center"/>
    </xf>
    <xf numFmtId="183" fontId="43" fillId="0" borderId="0" xfId="0" applyNumberFormat="1" applyFont="1"/>
    <xf numFmtId="4" fontId="43" fillId="0" borderId="0" xfId="0" applyNumberFormat="1" applyFont="1"/>
    <xf numFmtId="4" fontId="43" fillId="0" borderId="9" xfId="0" applyNumberFormat="1" applyFont="1" applyBorder="1"/>
    <xf numFmtId="3" fontId="43" fillId="0" borderId="0" xfId="0" applyNumberFormat="1" applyFont="1"/>
    <xf numFmtId="0" fontId="43" fillId="0" borderId="10" xfId="0" applyFont="1" applyBorder="1" applyAlignment="1">
      <alignment horizontal="center"/>
    </xf>
    <xf numFmtId="183" fontId="43" fillId="0" borderId="11" xfId="0" applyNumberFormat="1" applyFont="1" applyBorder="1"/>
    <xf numFmtId="4" fontId="43" fillId="0" borderId="11" xfId="0" applyNumberFormat="1" applyFont="1" applyBorder="1"/>
    <xf numFmtId="0" fontId="7" fillId="0" borderId="12" xfId="0" applyFont="1" applyBorder="1"/>
    <xf numFmtId="184" fontId="7" fillId="0" borderId="0" xfId="0" applyNumberFormat="1" applyFont="1" applyAlignment="1"/>
    <xf numFmtId="0" fontId="44" fillId="0" borderId="0" xfId="0" applyFont="1" applyAlignment="1"/>
    <xf numFmtId="185" fontId="7" fillId="0" borderId="0" xfId="0" applyNumberFormat="1" applyFont="1" applyAlignment="1"/>
    <xf numFmtId="0" fontId="45" fillId="0" borderId="0" xfId="0" applyFont="1" applyAlignment="1"/>
    <xf numFmtId="0" fontId="5" fillId="0" borderId="0" xfId="0" applyFont="1" applyAlignment="1">
      <alignment wrapText="1"/>
    </xf>
    <xf numFmtId="0" fontId="45" fillId="0" borderId="0" xfId="0" applyFont="1" applyAlignment="1">
      <alignment wrapText="1"/>
    </xf>
    <xf numFmtId="0" fontId="46" fillId="0" borderId="0" xfId="0" applyFont="1" applyAlignment="1">
      <alignment wrapText="1"/>
    </xf>
    <xf numFmtId="0" fontId="47" fillId="0" borderId="0" xfId="0" applyFont="1" applyAlignment="1"/>
    <xf numFmtId="16" fontId="47" fillId="0" borderId="0" xfId="0" applyNumberFormat="1" applyFont="1" applyAlignment="1">
      <alignment horizontal="right"/>
    </xf>
    <xf numFmtId="0" fontId="47" fillId="0" borderId="0" xfId="0" applyFont="1"/>
    <xf numFmtId="0" fontId="47" fillId="0" borderId="0" xfId="0" applyFont="1" applyAlignment="1">
      <alignment horizontal="right"/>
    </xf>
    <xf numFmtId="0" fontId="47" fillId="0" borderId="0" xfId="0" applyFont="1" applyAlignment="1">
      <alignment horizontal="left"/>
    </xf>
    <xf numFmtId="0" fontId="48" fillId="0" borderId="0" xfId="0" applyFont="1" applyAlignment="1"/>
    <xf numFmtId="0" fontId="49" fillId="0" borderId="0" xfId="0" applyFont="1" applyAlignment="1"/>
    <xf numFmtId="0" fontId="48" fillId="0" borderId="0" xfId="0" applyFont="1" applyAlignment="1">
      <alignment horizontal="right"/>
    </xf>
    <xf numFmtId="0" fontId="48" fillId="0" borderId="0" xfId="0" applyFont="1"/>
    <xf numFmtId="0" fontId="50" fillId="0" borderId="0" xfId="0" applyFont="1" applyAlignment="1"/>
    <xf numFmtId="0" fontId="51" fillId="0" borderId="0" xfId="0" applyFont="1" applyAlignment="1">
      <alignment horizontal="left"/>
    </xf>
    <xf numFmtId="0" fontId="52" fillId="0" borderId="0" xfId="0" applyFont="1" applyAlignment="1"/>
    <xf numFmtId="0" fontId="49" fillId="0" borderId="0" xfId="0" applyFont="1" applyAlignment="1">
      <alignment horizontal="left"/>
    </xf>
    <xf numFmtId="0" fontId="51" fillId="4" borderId="0" xfId="0" applyFont="1" applyFill="1" applyAlignment="1"/>
    <xf numFmtId="0" fontId="53" fillId="0" borderId="0" xfId="0" applyFont="1" applyAlignment="1"/>
    <xf numFmtId="0" fontId="54" fillId="0" borderId="0" xfId="0" applyFont="1" applyAlignment="1"/>
    <xf numFmtId="0" fontId="55" fillId="0" borderId="0" xfId="0" applyFont="1" applyAlignment="1"/>
    <xf numFmtId="0" fontId="56" fillId="4" borderId="0" xfId="0" applyFont="1" applyFill="1" applyAlignment="1"/>
    <xf numFmtId="0" fontId="57" fillId="4" borderId="0" xfId="0" applyFont="1" applyFill="1" applyAlignment="1"/>
    <xf numFmtId="0" fontId="58" fillId="4" borderId="0" xfId="0" applyFont="1" applyFill="1" applyAlignment="1"/>
    <xf numFmtId="0" fontId="45" fillId="3" borderId="0" xfId="0" applyFont="1" applyFill="1" applyAlignment="1"/>
    <xf numFmtId="16" fontId="47" fillId="3" borderId="0" xfId="0" applyNumberFormat="1" applyFont="1" applyFill="1" applyAlignment="1">
      <alignment horizontal="right"/>
    </xf>
    <xf numFmtId="16" fontId="48" fillId="3" borderId="0" xfId="0" applyNumberFormat="1" applyFont="1" applyFill="1" applyAlignment="1">
      <alignment horizontal="right"/>
    </xf>
    <xf numFmtId="0" fontId="48" fillId="3" borderId="0" xfId="0" applyFont="1" applyFill="1" applyAlignment="1">
      <alignment horizontal="right"/>
    </xf>
    <xf numFmtId="0" fontId="47" fillId="3" borderId="0" xfId="0" applyFont="1" applyFill="1" applyAlignment="1">
      <alignment horizontal="right"/>
    </xf>
    <xf numFmtId="16" fontId="48" fillId="0" borderId="0" xfId="0" applyNumberFormat="1" applyFont="1" applyAlignment="1">
      <alignment horizontal="right"/>
    </xf>
    <xf numFmtId="179" fontId="48" fillId="0" borderId="0" xfId="0" applyNumberFormat="1" applyFont="1" applyAlignment="1"/>
    <xf numFmtId="179" fontId="47" fillId="0" borderId="0" xfId="0" applyNumberFormat="1" applyFont="1" applyAlignment="1"/>
    <xf numFmtId="179" fontId="47" fillId="0" borderId="0" xfId="0" applyNumberFormat="1" applyFont="1" applyAlignment="1">
      <alignment horizontal="right"/>
    </xf>
    <xf numFmtId="181" fontId="47" fillId="0" borderId="0" xfId="0" applyNumberFormat="1" applyFont="1" applyAlignment="1"/>
    <xf numFmtId="186" fontId="47" fillId="0" borderId="0" xfId="0" applyNumberFormat="1" applyFont="1" applyAlignment="1"/>
    <xf numFmtId="180" fontId="48" fillId="0" borderId="0" xfId="0" applyNumberFormat="1" applyFont="1" applyAlignment="1">
      <alignment horizontal="right"/>
    </xf>
    <xf numFmtId="0" fontId="7" fillId="0" borderId="13" xfId="0" applyFont="1" applyBorder="1" applyAlignment="1"/>
    <xf numFmtId="0" fontId="7" fillId="0" borderId="14" xfId="0" applyFont="1" applyBorder="1" applyAlignment="1"/>
    <xf numFmtId="0" fontId="7" fillId="0" borderId="15" xfId="0" applyFont="1" applyBorder="1" applyAlignment="1"/>
    <xf numFmtId="0" fontId="7" fillId="0" borderId="16" xfId="0" applyFont="1" applyBorder="1" applyAlignment="1"/>
    <xf numFmtId="0" fontId="7" fillId="0" borderId="17" xfId="0" applyFont="1" applyBorder="1" applyAlignment="1"/>
    <xf numFmtId="0" fontId="7" fillId="0" borderId="16" xfId="0" applyFont="1" applyBorder="1"/>
    <xf numFmtId="0" fontId="7" fillId="0" borderId="17" xfId="0" applyFont="1" applyBorder="1"/>
    <xf numFmtId="0" fontId="7" fillId="0" borderId="18" xfId="0" applyFont="1" applyBorder="1"/>
    <xf numFmtId="0" fontId="7" fillId="0" borderId="19" xfId="0" applyFont="1" applyBorder="1"/>
    <xf numFmtId="0" fontId="7" fillId="0" borderId="20" xfId="0" applyFont="1" applyBorder="1"/>
    <xf numFmtId="0" fontId="16" fillId="0" borderId="21" xfId="0" applyFont="1" applyBorder="1" applyAlignment="1"/>
    <xf numFmtId="0" fontId="16" fillId="0" borderId="22" xfId="0" applyFont="1" applyBorder="1" applyAlignment="1"/>
    <xf numFmtId="0" fontId="7" fillId="0" borderId="23" xfId="0" applyFont="1" applyBorder="1" applyAlignment="1"/>
    <xf numFmtId="187" fontId="7" fillId="0" borderId="15" xfId="0" applyNumberFormat="1" applyFont="1" applyBorder="1" applyAlignment="1"/>
    <xf numFmtId="0" fontId="7" fillId="0" borderId="24" xfId="0" applyFont="1" applyBorder="1" applyAlignment="1"/>
    <xf numFmtId="187" fontId="7" fillId="0" borderId="15" xfId="0" applyNumberFormat="1" applyFont="1" applyBorder="1"/>
    <xf numFmtId="0" fontId="7" fillId="0" borderId="25" xfId="0" applyFont="1" applyBorder="1" applyAlignment="1"/>
    <xf numFmtId="187" fontId="7" fillId="0" borderId="0" xfId="0" applyNumberFormat="1" applyFont="1" applyAlignment="1"/>
    <xf numFmtId="0" fontId="7" fillId="0" borderId="25" xfId="0" applyFont="1" applyBorder="1"/>
    <xf numFmtId="0" fontId="7" fillId="0" borderId="26" xfId="0" applyFont="1" applyBorder="1"/>
    <xf numFmtId="188" fontId="5" fillId="0" borderId="0" xfId="0" applyNumberFormat="1" applyFont="1" applyAlignment="1">
      <alignment horizontal="right"/>
    </xf>
    <xf numFmtId="0" fontId="6" fillId="14" borderId="0" xfId="0" applyFont="1" applyFill="1" applyAlignment="1"/>
    <xf numFmtId="0" fontId="5" fillId="14" borderId="0" xfId="0" applyFont="1" applyFill="1" applyAlignment="1"/>
    <xf numFmtId="0" fontId="5" fillId="14" borderId="0" xfId="0" applyFont="1" applyFill="1" applyAlignment="1">
      <alignment horizontal="right"/>
    </xf>
    <xf numFmtId="0" fontId="3" fillId="15" borderId="0" xfId="0" applyFont="1" applyFill="1" applyAlignment="1"/>
    <xf numFmtId="0" fontId="5" fillId="15" borderId="0" xfId="0" applyFont="1" applyFill="1" applyAlignment="1"/>
    <xf numFmtId="0" fontId="6" fillId="15" borderId="0" xfId="0" applyFont="1" applyFill="1" applyAlignment="1"/>
    <xf numFmtId="0" fontId="5" fillId="15" borderId="0" xfId="0" applyFont="1" applyFill="1" applyAlignment="1">
      <alignment horizontal="right"/>
    </xf>
    <xf numFmtId="0" fontId="6" fillId="16" borderId="0" xfId="0" applyFont="1" applyFill="1" applyAlignment="1"/>
    <xf numFmtId="0" fontId="5" fillId="16" borderId="0" xfId="0" applyFont="1" applyFill="1" applyAlignment="1"/>
    <xf numFmtId="0" fontId="5" fillId="16" borderId="0" xfId="0" applyFont="1" applyFill="1" applyAlignment="1">
      <alignment horizontal="right"/>
    </xf>
    <xf numFmtId="16" fontId="5" fillId="16" borderId="0" xfId="0" applyNumberFormat="1" applyFont="1" applyFill="1" applyAlignment="1">
      <alignment horizontal="right"/>
    </xf>
    <xf numFmtId="0" fontId="59" fillId="0" borderId="0" xfId="0" applyFont="1" applyAlignment="1"/>
    <xf numFmtId="0" fontId="60" fillId="0" borderId="0" xfId="0" applyFont="1" applyAlignment="1"/>
    <xf numFmtId="0" fontId="60" fillId="0" borderId="0" xfId="0" applyFont="1" applyAlignment="1">
      <alignment horizontal="right"/>
    </xf>
    <xf numFmtId="0" fontId="61" fillId="0" borderId="0" xfId="0" applyFont="1" applyAlignment="1">
      <alignment horizontal="right"/>
    </xf>
    <xf numFmtId="0" fontId="62" fillId="0" borderId="0" xfId="0" applyFont="1" applyAlignment="1"/>
    <xf numFmtId="0" fontId="3" fillId="17" borderId="0" xfId="0" applyFont="1" applyFill="1" applyAlignment="1"/>
    <xf numFmtId="0" fontId="2" fillId="17" borderId="0" xfId="0" applyFont="1" applyFill="1" applyAlignment="1"/>
    <xf numFmtId="0" fontId="11" fillId="17" borderId="0" xfId="0" applyFont="1" applyFill="1" applyAlignment="1"/>
    <xf numFmtId="0" fontId="2" fillId="17" borderId="0" xfId="0" applyFont="1" applyFill="1" applyAlignment="1">
      <alignment horizontal="right"/>
    </xf>
    <xf numFmtId="16" fontId="2" fillId="17" borderId="0" xfId="0" applyNumberFormat="1" applyFont="1" applyFill="1" applyAlignment="1">
      <alignment horizontal="right"/>
    </xf>
    <xf numFmtId="0" fontId="4" fillId="16" borderId="0" xfId="0" applyFont="1" applyFill="1" applyAlignment="1"/>
    <xf numFmtId="0" fontId="59" fillId="0" borderId="0" xfId="0" applyFont="1" applyAlignment="1">
      <alignment horizontal="left"/>
    </xf>
    <xf numFmtId="0" fontId="63" fillId="0" borderId="0" xfId="0" applyFont="1" applyAlignment="1"/>
    <xf numFmtId="0" fontId="64" fillId="0" borderId="0" xfId="0" applyFont="1" applyAlignment="1">
      <alignment horizontal="left"/>
    </xf>
    <xf numFmtId="0" fontId="3" fillId="18" borderId="0" xfId="0" applyFont="1" applyFill="1" applyAlignment="1"/>
    <xf numFmtId="0" fontId="5" fillId="18" borderId="0" xfId="0" applyFont="1" applyFill="1" applyAlignment="1"/>
    <xf numFmtId="0" fontId="6" fillId="18" borderId="0" xfId="0" applyFont="1" applyFill="1" applyAlignment="1"/>
    <xf numFmtId="0" fontId="5" fillId="18" borderId="0" xfId="0" applyFont="1" applyFill="1" applyAlignment="1">
      <alignment horizontal="right"/>
    </xf>
    <xf numFmtId="16" fontId="5" fillId="18" borderId="0" xfId="0" applyNumberFormat="1" applyFont="1" applyFill="1" applyAlignment="1">
      <alignment horizontal="right"/>
    </xf>
    <xf numFmtId="0" fontId="5" fillId="3" borderId="0" xfId="0" applyFont="1" applyFill="1" applyAlignment="1">
      <alignment horizontal="right"/>
    </xf>
    <xf numFmtId="16" fontId="5" fillId="14" borderId="0" xfId="0" applyNumberFormat="1" applyFont="1" applyFill="1" applyAlignment="1">
      <alignment horizontal="right"/>
    </xf>
    <xf numFmtId="0" fontId="65" fillId="0" borderId="0" xfId="0" applyFont="1" applyAlignment="1">
      <alignment horizontal="left"/>
    </xf>
    <xf numFmtId="0" fontId="5" fillId="14" borderId="0" xfId="0" applyFont="1" applyFill="1" applyAlignment="1">
      <alignment horizontal="left"/>
    </xf>
    <xf numFmtId="0" fontId="4" fillId="14" borderId="0" xfId="0" applyFont="1" applyFill="1"/>
    <xf numFmtId="0" fontId="5" fillId="0" borderId="0" xfId="0" applyFont="1" applyAlignment="1">
      <alignment horizontal="left"/>
    </xf>
    <xf numFmtId="0" fontId="41" fillId="0" borderId="0" xfId="0" applyFont="1" applyAlignment="1"/>
    <xf numFmtId="0" fontId="4" fillId="15" borderId="0" xfId="0" applyFont="1" applyFill="1"/>
    <xf numFmtId="0" fontId="66" fillId="15" borderId="0" xfId="0" applyFont="1" applyFill="1" applyAlignment="1"/>
    <xf numFmtId="0" fontId="66" fillId="0" borderId="0" xfId="0" applyFont="1" applyAlignment="1"/>
    <xf numFmtId="0" fontId="2" fillId="16" borderId="0" xfId="0" applyFont="1" applyFill="1" applyAlignment="1"/>
    <xf numFmtId="0" fontId="4" fillId="16" borderId="0" xfId="0" applyFont="1" applyFill="1"/>
    <xf numFmtId="0" fontId="67" fillId="0" borderId="0" xfId="0" applyFont="1" applyAlignment="1"/>
    <xf numFmtId="0" fontId="11" fillId="17" borderId="0" xfId="0" applyFont="1" applyFill="1"/>
    <xf numFmtId="0" fontId="16" fillId="17" borderId="0" xfId="0" applyFont="1" applyFill="1"/>
    <xf numFmtId="0" fontId="68" fillId="0" borderId="0" xfId="0" applyFont="1" applyAlignment="1"/>
    <xf numFmtId="0" fontId="63" fillId="0" borderId="0" xfId="0" applyFont="1"/>
    <xf numFmtId="0" fontId="4" fillId="18" borderId="0" xfId="0" applyFont="1" applyFill="1"/>
    <xf numFmtId="0" fontId="67" fillId="18" borderId="0" xfId="0" applyFont="1" applyFill="1" applyAlignment="1"/>
    <xf numFmtId="0" fontId="40" fillId="18" borderId="0" xfId="0" applyFont="1" applyFill="1" applyAlignment="1"/>
    <xf numFmtId="0" fontId="2" fillId="10" borderId="0" xfId="0" applyFont="1" applyFill="1" applyAlignment="1"/>
    <xf numFmtId="0" fontId="41" fillId="18" borderId="0" xfId="0" applyFont="1" applyFill="1" applyAlignment="1"/>
    <xf numFmtId="0" fontId="4" fillId="3" borderId="0" xfId="0" applyFont="1" applyFill="1"/>
    <xf numFmtId="0" fontId="41" fillId="3" borderId="0" xfId="0" applyFont="1" applyFill="1" applyAlignment="1"/>
    <xf numFmtId="0" fontId="42" fillId="0" borderId="0" xfId="0" applyFont="1" applyAlignment="1"/>
    <xf numFmtId="0" fontId="69" fillId="0" borderId="0" xfId="0" applyFont="1" applyAlignment="1"/>
    <xf numFmtId="0" fontId="70" fillId="0" borderId="0" xfId="0" applyFont="1" applyAlignment="1"/>
    <xf numFmtId="0" fontId="40" fillId="0" borderId="0" xfId="0" applyFont="1" applyAlignment="1"/>
    <xf numFmtId="0" fontId="71" fillId="4" borderId="0" xfId="0" applyFont="1" applyFill="1" applyAlignment="1"/>
    <xf numFmtId="16" fontId="2" fillId="3" borderId="0" xfId="0" applyNumberFormat="1" applyFont="1" applyFill="1" applyAlignment="1">
      <alignment horizontal="right"/>
    </xf>
    <xf numFmtId="0" fontId="72" fillId="4" borderId="0" xfId="0" applyFont="1" applyFill="1" applyAlignment="1"/>
    <xf numFmtId="16" fontId="5" fillId="15" borderId="0" xfId="0" applyNumberFormat="1" applyFont="1" applyFill="1" applyAlignment="1">
      <alignment horizontal="right"/>
    </xf>
    <xf numFmtId="0" fontId="41" fillId="16" borderId="0" xfId="0" applyFont="1" applyFill="1" applyAlignment="1"/>
    <xf numFmtId="0" fontId="73" fillId="0" borderId="0" xfId="0" applyFont="1"/>
    <xf numFmtId="16" fontId="60" fillId="0" borderId="0" xfId="0" applyNumberFormat="1" applyFont="1" applyAlignment="1">
      <alignment horizontal="right"/>
    </xf>
    <xf numFmtId="179" fontId="74" fillId="0" borderId="0" xfId="0" applyNumberFormat="1" applyFont="1" applyAlignment="1"/>
    <xf numFmtId="16" fontId="60" fillId="3" borderId="0" xfId="0" applyNumberFormat="1" applyFont="1" applyFill="1" applyAlignment="1">
      <alignment horizontal="right"/>
    </xf>
    <xf numFmtId="0" fontId="74" fillId="0" borderId="0" xfId="0" applyFont="1" applyAlignment="1"/>
    <xf numFmtId="0" fontId="7" fillId="18" borderId="0" xfId="0" applyFont="1" applyFill="1"/>
    <xf numFmtId="179" fontId="5" fillId="0" borderId="0" xfId="0" applyNumberFormat="1" applyFont="1" applyAlignment="1"/>
    <xf numFmtId="0" fontId="41" fillId="14" borderId="0" xfId="0" applyFont="1" applyFill="1" applyAlignment="1"/>
    <xf numFmtId="0" fontId="7" fillId="14" borderId="0" xfId="0" applyFont="1" applyFill="1"/>
    <xf numFmtId="0" fontId="2" fillId="0" borderId="0" xfId="0" applyFont="1" applyAlignment="1">
      <alignment horizontal="left"/>
    </xf>
    <xf numFmtId="180" fontId="2" fillId="0" borderId="0" xfId="0" applyNumberFormat="1" applyFont="1" applyAlignment="1">
      <alignment horizontal="right"/>
    </xf>
    <xf numFmtId="0" fontId="4" fillId="0" borderId="0" xfId="0" applyFont="1" applyAlignment="1">
      <alignment horizontal="left"/>
    </xf>
    <xf numFmtId="179" fontId="5" fillId="0" borderId="0" xfId="0" applyNumberFormat="1" applyFont="1" applyAlignment="1">
      <alignment horizontal="right"/>
    </xf>
    <xf numFmtId="0" fontId="5" fillId="15" borderId="0" xfId="0" applyFont="1" applyFill="1" applyAlignment="1">
      <alignment horizontal="left"/>
    </xf>
    <xf numFmtId="0" fontId="5" fillId="16" borderId="0" xfId="0" applyFont="1" applyFill="1" applyAlignment="1">
      <alignment horizontal="left"/>
    </xf>
    <xf numFmtId="181" fontId="6" fillId="0" borderId="0" xfId="0" applyNumberFormat="1" applyFont="1" applyAlignment="1"/>
    <xf numFmtId="0" fontId="60" fillId="0" borderId="0" xfId="0" applyFont="1" applyAlignment="1">
      <alignment horizontal="left"/>
    </xf>
    <xf numFmtId="181" fontId="11" fillId="17" borderId="0" xfId="0" applyNumberFormat="1" applyFont="1" applyFill="1" applyAlignment="1"/>
    <xf numFmtId="0" fontId="11" fillId="17" borderId="0" xfId="0" applyFont="1" applyFill="1" applyAlignment="1">
      <alignment horizontal="left"/>
    </xf>
    <xf numFmtId="181" fontId="4" fillId="0" borderId="0" xfId="0" applyNumberFormat="1" applyFont="1" applyAlignment="1"/>
    <xf numFmtId="189" fontId="75" fillId="0" borderId="0" xfId="0" applyNumberFormat="1" applyFont="1" applyAlignment="1">
      <alignment horizontal="left"/>
    </xf>
    <xf numFmtId="0" fontId="5" fillId="18" borderId="0" xfId="0" applyFont="1" applyFill="1" applyAlignment="1">
      <alignment horizontal="left"/>
    </xf>
    <xf numFmtId="0" fontId="5" fillId="10" borderId="0" xfId="0" applyFont="1" applyFill="1" applyAlignment="1">
      <alignment horizontal="left"/>
    </xf>
    <xf numFmtId="0" fontId="5" fillId="3" borderId="0" xfId="0" applyFont="1" applyFill="1" applyAlignment="1">
      <alignment horizontal="left"/>
    </xf>
    <xf numFmtId="0" fontId="4" fillId="14" borderId="0" xfId="0" applyFont="1" applyFill="1" applyAlignment="1"/>
    <xf numFmtId="0" fontId="6" fillId="17" borderId="0" xfId="0" applyFont="1" applyFill="1" applyAlignment="1"/>
    <xf numFmtId="0" fontId="5" fillId="17" borderId="0" xfId="0" applyFont="1" applyFill="1" applyAlignment="1"/>
    <xf numFmtId="0" fontId="5" fillId="17" borderId="0" xfId="0" applyFont="1" applyFill="1" applyAlignment="1">
      <alignment horizontal="right"/>
    </xf>
    <xf numFmtId="16" fontId="5" fillId="17" borderId="0" xfId="0" applyNumberFormat="1" applyFont="1" applyFill="1" applyAlignment="1">
      <alignment horizontal="right"/>
    </xf>
    <xf numFmtId="0" fontId="65" fillId="8" borderId="0" xfId="0" applyFont="1" applyFill="1" applyAlignment="1">
      <alignment horizontal="right"/>
    </xf>
    <xf numFmtId="0" fontId="60" fillId="8" borderId="0" xfId="0" applyFont="1" applyFill="1" applyAlignment="1">
      <alignment horizontal="right"/>
    </xf>
    <xf numFmtId="0" fontId="6" fillId="19" borderId="0" xfId="0" applyFont="1" applyFill="1" applyAlignment="1"/>
    <xf numFmtId="0" fontId="5" fillId="19" borderId="0" xfId="0" applyFont="1" applyFill="1" applyAlignment="1"/>
    <xf numFmtId="0" fontId="5" fillId="19" borderId="0" xfId="0" applyFont="1" applyFill="1" applyAlignment="1">
      <alignment horizontal="right"/>
    </xf>
    <xf numFmtId="0" fontId="6" fillId="20" borderId="0" xfId="0" applyFont="1" applyFill="1" applyAlignment="1"/>
    <xf numFmtId="0" fontId="5" fillId="20" borderId="0" xfId="0" applyFont="1" applyFill="1" applyAlignment="1"/>
    <xf numFmtId="0" fontId="5" fillId="20" borderId="0" xfId="0" applyFont="1" applyFill="1" applyAlignment="1">
      <alignment horizontal="right"/>
    </xf>
    <xf numFmtId="0" fontId="6" fillId="0" borderId="0" xfId="0" applyFont="1" applyAlignment="1">
      <alignment wrapText="1"/>
    </xf>
    <xf numFmtId="0" fontId="4" fillId="17" borderId="0" xfId="0" applyFont="1" applyFill="1"/>
    <xf numFmtId="0" fontId="41" fillId="17" borderId="0" xfId="0" applyFont="1" applyFill="1" applyAlignment="1"/>
    <xf numFmtId="0" fontId="76" fillId="8" borderId="0" xfId="0" applyFont="1" applyFill="1" applyAlignment="1">
      <alignment horizontal="right"/>
    </xf>
    <xf numFmtId="0" fontId="65" fillId="3" borderId="0" xfId="0" applyFont="1" applyFill="1" applyAlignment="1">
      <alignment horizontal="left"/>
    </xf>
    <xf numFmtId="0" fontId="4" fillId="3" borderId="0" xfId="0" applyFont="1" applyFill="1" applyAlignment="1"/>
    <xf numFmtId="0" fontId="42" fillId="3" borderId="0" xfId="0" applyFont="1" applyFill="1" applyAlignment="1"/>
    <xf numFmtId="0" fontId="4" fillId="19" borderId="0" xfId="0" applyFont="1" applyFill="1"/>
    <xf numFmtId="0" fontId="4" fillId="20" borderId="0" xfId="0" applyFont="1" applyFill="1"/>
    <xf numFmtId="0" fontId="41" fillId="20" borderId="0" xfId="0" applyFont="1" applyFill="1" applyAlignment="1"/>
    <xf numFmtId="0" fontId="75" fillId="0" borderId="0" xfId="0" applyFont="1" applyAlignment="1"/>
    <xf numFmtId="179" fontId="8" fillId="14" borderId="0" xfId="0" applyNumberFormat="1" applyFont="1" applyFill="1" applyAlignment="1"/>
    <xf numFmtId="179" fontId="8" fillId="17" borderId="0" xfId="0" applyNumberFormat="1" applyFont="1" applyFill="1" applyAlignment="1"/>
    <xf numFmtId="16" fontId="5" fillId="8" borderId="0" xfId="0" applyNumberFormat="1" applyFont="1" applyFill="1" applyAlignment="1">
      <alignment horizontal="right"/>
    </xf>
    <xf numFmtId="179" fontId="2" fillId="8" borderId="0" xfId="0" applyNumberFormat="1" applyFont="1" applyFill="1" applyAlignment="1"/>
    <xf numFmtId="179" fontId="2" fillId="0" borderId="0" xfId="0" applyNumberFormat="1" applyFont="1" applyAlignment="1"/>
    <xf numFmtId="0" fontId="8" fillId="3" borderId="0" xfId="0" applyFont="1" applyFill="1" applyAlignment="1"/>
    <xf numFmtId="0" fontId="7" fillId="17" borderId="0" xfId="0" applyFont="1" applyFill="1"/>
    <xf numFmtId="0" fontId="8" fillId="17" borderId="0" xfId="0" applyFont="1" applyFill="1" applyAlignment="1"/>
    <xf numFmtId="0" fontId="41" fillId="21" borderId="0" xfId="0" applyFont="1" applyFill="1" applyAlignment="1"/>
    <xf numFmtId="0" fontId="8" fillId="14" borderId="0" xfId="0" applyFont="1" applyFill="1" applyAlignment="1"/>
    <xf numFmtId="0" fontId="41" fillId="19" borderId="0" xfId="0" applyFont="1" applyFill="1" applyAlignment="1"/>
    <xf numFmtId="0" fontId="7" fillId="19" borderId="0" xfId="0" applyFont="1" applyFill="1"/>
    <xf numFmtId="16" fontId="5" fillId="19" borderId="0" xfId="0" applyNumberFormat="1" applyFont="1" applyFill="1" applyAlignment="1">
      <alignment horizontal="right"/>
    </xf>
    <xf numFmtId="0" fontId="2" fillId="19" borderId="0" xfId="0" applyFont="1" applyFill="1" applyAlignment="1"/>
    <xf numFmtId="16" fontId="5" fillId="20" borderId="0" xfId="0" applyNumberFormat="1" applyFont="1" applyFill="1" applyAlignment="1">
      <alignment horizontal="right"/>
    </xf>
    <xf numFmtId="0" fontId="2" fillId="20" borderId="0" xfId="0" applyFont="1" applyFill="1" applyAlignment="1"/>
    <xf numFmtId="0" fontId="5" fillId="17" borderId="0" xfId="0" applyFont="1" applyFill="1" applyAlignment="1">
      <alignment horizontal="left"/>
    </xf>
    <xf numFmtId="0" fontId="5" fillId="8" borderId="0" xfId="0" applyFont="1" applyFill="1" applyAlignment="1">
      <alignment horizontal="left"/>
    </xf>
    <xf numFmtId="0" fontId="4" fillId="8" borderId="0" xfId="0" applyFont="1" applyFill="1"/>
    <xf numFmtId="186" fontId="6" fillId="17" borderId="0" xfId="0" applyNumberFormat="1" applyFont="1" applyFill="1" applyAlignment="1"/>
    <xf numFmtId="186" fontId="6" fillId="14" borderId="0" xfId="0" applyNumberFormat="1" applyFont="1" applyFill="1" applyAlignment="1"/>
    <xf numFmtId="186" fontId="6" fillId="19" borderId="0" xfId="0" applyNumberFormat="1" applyFont="1" applyFill="1" applyAlignment="1"/>
    <xf numFmtId="0" fontId="5" fillId="19" borderId="0" xfId="0" applyFont="1" applyFill="1" applyAlignment="1">
      <alignment horizontal="left"/>
    </xf>
    <xf numFmtId="186" fontId="6" fillId="0" borderId="0" xfId="0" applyNumberFormat="1" applyFont="1" applyAlignment="1"/>
    <xf numFmtId="179" fontId="5" fillId="20" borderId="0" xfId="0" applyNumberFormat="1" applyFont="1" applyFill="1" applyAlignment="1">
      <alignment horizontal="right"/>
    </xf>
    <xf numFmtId="0" fontId="5" fillId="20" borderId="0" xfId="0" applyFont="1" applyFill="1" applyAlignment="1">
      <alignment horizontal="left"/>
    </xf>
    <xf numFmtId="0" fontId="65" fillId="0" borderId="0" xfId="0" applyFont="1" applyAlignment="1" quotePrefix="1">
      <alignment horizontal="left"/>
    </xf>
    <xf numFmtId="0" fontId="5" fillId="14" borderId="0" xfId="0" applyFont="1" applyFill="1" applyAlignment="1" quotePrefix="1">
      <alignment horizontal="left"/>
    </xf>
    <xf numFmtId="0" fontId="5" fillId="20" borderId="0" xfId="0" applyFont="1" applyFill="1" applyAlignment="1" quotePrefix="1"/>
    <xf numFmtId="0" fontId="75" fillId="0" borderId="0" xfId="0" applyFont="1" applyAlignment="1" quotePrefix="1"/>
    <xf numFmtId="0" fontId="51" fillId="0" borderId="0" xfId="0" applyFont="1" applyAlignment="1" quotePrefix="1">
      <alignment horizontal="left"/>
    </xf>
    <xf numFmtId="0" fontId="47" fillId="0" borderId="0" xfId="0" applyFont="1" applyAlignment="1" quotePrefix="1"/>
    <xf numFmtId="0" fontId="7" fillId="0" borderId="0" xfId="0" applyFont="1" applyAlignme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8">
    <dxf>
      <fill>
        <patternFill patternType="solid">
          <fgColor rgb="FFB7E1CD"/>
          <bgColor rgb="FFB7E1CD"/>
        </patternFill>
      </fill>
    </dxf>
    <dxf>
      <fill>
        <patternFill patternType="solid">
          <fgColor rgb="FFFF9900"/>
          <bgColor rgb="FFFF9900"/>
        </patternFill>
      </fill>
    </dxf>
    <dxf>
      <fill>
        <patternFill patternType="solid">
          <fgColor rgb="FF6AA84F"/>
          <bgColor rgb="FF6AA84F"/>
        </patternFill>
      </fill>
    </dxf>
    <dxf>
      <fill>
        <patternFill patternType="solid">
          <fgColor rgb="FFB6D7A8"/>
          <bgColor rgb="FFB6D7A8"/>
        </patternFill>
      </fill>
    </dxf>
    <dxf>
      <fill>
        <patternFill patternType="solid">
          <fgColor rgb="FF00FFFF"/>
          <bgColor rgb="FF00FFFF"/>
        </patternFill>
      </fill>
    </dxf>
    <dxf>
      <fill>
        <patternFill patternType="solid">
          <fgColor rgb="FF6D9EEB"/>
          <bgColor rgb="FF6D9EEB"/>
        </patternFill>
      </fill>
    </dxf>
    <dxf>
      <fill>
        <patternFill patternType="solid">
          <fgColor rgb="FF93C47D"/>
          <bgColor rgb="FF93C47D"/>
        </patternFill>
      </fill>
    </dxf>
    <dxf>
      <fill>
        <patternFill patternType="solid">
          <fgColor rgb="FFA64D79"/>
          <bgColor rgb="FFA64D79"/>
        </patternFill>
      </fill>
    </dxf>
    <dxf>
      <fill>
        <patternFill patternType="solid">
          <fgColor rgb="FFFF0000"/>
          <bgColor rgb="FFFF0000"/>
        </patternFill>
      </fill>
    </dxf>
    <dxf>
      <fill>
        <patternFill patternType="solid">
          <fgColor rgb="FFB4A7D6"/>
          <bgColor rgb="FFB4A7D6"/>
        </patternFill>
      </fill>
    </dxf>
    <dxf>
      <fill>
        <patternFill patternType="solid">
          <fgColor rgb="FFFFFF00"/>
          <bgColor rgb="FFFFFF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messenger.com/e2ee/t/9748301158532840/" TargetMode="External"/><Relationship Id="rId8" Type="http://schemas.openxmlformats.org/officeDocument/2006/relationships/hyperlink" Target="https://www.facebook.com/DavaoPropertyRealty/" TargetMode="External"/><Relationship Id="rId71" Type="http://schemas.openxmlformats.org/officeDocument/2006/relationships/hyperlink" Target="https://www.facebook.com/messages/t/100001201376134" TargetMode="External"/><Relationship Id="rId70" Type="http://schemas.openxmlformats.org/officeDocument/2006/relationships/hyperlink" Target="https://www.messenger.com/e2ee/t/8060634060665609" TargetMode="External"/><Relationship Id="rId7" Type="http://schemas.openxmlformats.org/officeDocument/2006/relationships/hyperlink" Target="https://davaohouselot.com/mati-real-estate-broker/" TargetMode="External"/><Relationship Id="rId69" Type="http://schemas.openxmlformats.org/officeDocument/2006/relationships/hyperlink" Target="https://www.facebook.com/messages/e2ee/t/2182092612301923" TargetMode="External"/><Relationship Id="rId68" Type="http://schemas.openxmlformats.org/officeDocument/2006/relationships/hyperlink" Target="https://www.facebook.com/vaceniza" TargetMode="External"/><Relationship Id="rId67" Type="http://schemas.openxmlformats.org/officeDocument/2006/relationships/hyperlink" Target="https://www.facebook.com/villocinorealty/" TargetMode="External"/><Relationship Id="rId66" Type="http://schemas.openxmlformats.org/officeDocument/2006/relationships/hyperlink" Target="https://www.messenger.com/e2ee/t/9091214100958211" TargetMode="External"/><Relationship Id="rId65" Type="http://schemas.openxmlformats.org/officeDocument/2006/relationships/hyperlink" Target="https://www.facebook.com/emilia.fajardo.pabilan" TargetMode="External"/><Relationship Id="rId64" Type="http://schemas.openxmlformats.org/officeDocument/2006/relationships/hyperlink" Target="https://www.facebook.com/veronica.siblos" TargetMode="External"/><Relationship Id="rId63" Type="http://schemas.openxmlformats.org/officeDocument/2006/relationships/hyperlink" Target="https://www.facebook.com/messages/e2ee/t/1579425843028759" TargetMode="External"/><Relationship Id="rId62" Type="http://schemas.openxmlformats.org/officeDocument/2006/relationships/hyperlink" Target="https://www.facebook.com/messages/e2ee/t/7369231737450781828" TargetMode="External"/><Relationship Id="rId61" Type="http://schemas.openxmlformats.org/officeDocument/2006/relationships/hyperlink" Target="https://www.facebook.com/tgmprimeproperties" TargetMode="External"/><Relationship Id="rId60" Type="http://schemas.openxmlformats.org/officeDocument/2006/relationships/hyperlink" Target="https://www.facebook.com/profile.php?id=100076220557970" TargetMode="External"/><Relationship Id="rId6" Type="http://schemas.openxmlformats.org/officeDocument/2006/relationships/hyperlink" Target="https://www.facebook.com/messages/e2ee/t/7544486862299192" TargetMode="External"/><Relationship Id="rId59" Type="http://schemas.openxmlformats.org/officeDocument/2006/relationships/hyperlink" Target="https://www.facebook.com/keltaplac" TargetMode="External"/><Relationship Id="rId58" Type="http://schemas.openxmlformats.org/officeDocument/2006/relationships/hyperlink" Target="https://www.facebook.com/stellarrealtyph/" TargetMode="External"/><Relationship Id="rId57" Type="http://schemas.openxmlformats.org/officeDocument/2006/relationships/hyperlink" Target="http://salvimindarealty.com" TargetMode="External"/><Relationship Id="rId56" Type="http://schemas.openxmlformats.org/officeDocument/2006/relationships/hyperlink" Target="https://www.facebook.com/RMERUSSELREALTY/" TargetMode="External"/><Relationship Id="rId55" Type="http://schemas.openxmlformats.org/officeDocument/2006/relationships/hyperlink" Target="https://www.messenger.com/e2ee/t/759745700083577" TargetMode="External"/><Relationship Id="rId54" Type="http://schemas.openxmlformats.org/officeDocument/2006/relationships/hyperlink" Target="https://www.facebook.com/rcrealtyandbrokerage/" TargetMode="External"/><Relationship Id="rId53" Type="http://schemas.openxmlformats.org/officeDocument/2006/relationships/hyperlink" Target="https://www.facebook.com/messages/t/439672376056987" TargetMode="External"/><Relationship Id="rId52" Type="http://schemas.openxmlformats.org/officeDocument/2006/relationships/hyperlink" Target="https://www.facebook.com/rcrealtyandbrokerage" TargetMode="External"/><Relationship Id="rId51" Type="http://schemas.openxmlformats.org/officeDocument/2006/relationships/hyperlink" Target="https://www.facebook.com/rhea.perez.31392" TargetMode="External"/><Relationship Id="rId50" Type="http://schemas.openxmlformats.org/officeDocument/2006/relationships/hyperlink" Target="https://www.messenger.com/e2ee/t/9955794257877020" TargetMode="External"/><Relationship Id="rId5" Type="http://schemas.openxmlformats.org/officeDocument/2006/relationships/hyperlink" Target="http://davaocityproperty.com" TargetMode="External"/><Relationship Id="rId49" Type="http://schemas.openxmlformats.org/officeDocument/2006/relationships/hyperlink" Target="https://www.propertybroker.ph/" TargetMode="External"/><Relationship Id="rId48" Type="http://schemas.openxmlformats.org/officeDocument/2006/relationships/hyperlink" Target="https://www.propseekerrealty.com/?fbclid=IwZXh0bgNhZW0CMTAAAR2un3aZvaJVRz5D4JKonEJr-OG7CZdE_ugScGPervR40ahgPX8n-VBU1UE_aem_Q1XzpHMg5UwEnMGbOCqxjQ" TargetMode="External"/><Relationship Id="rId47" Type="http://schemas.openxmlformats.org/officeDocument/2006/relationships/hyperlink" Target="https://www.facebook.com/propertyseekerrealty" TargetMode="External"/><Relationship Id="rId46" Type="http://schemas.openxmlformats.org/officeDocument/2006/relationships/hyperlink" Target="https://www.propertier.ph/" TargetMode="External"/><Relationship Id="rId45" Type="http://schemas.openxmlformats.org/officeDocument/2006/relationships/hyperlink" Target="http://propertier.ph/" TargetMode="External"/><Relationship Id="rId44" Type="http://schemas.openxmlformats.org/officeDocument/2006/relationships/hyperlink" Target="https://www.facebook.com/princedior.sepe" TargetMode="External"/><Relationship Id="rId43" Type="http://schemas.openxmlformats.org/officeDocument/2006/relationships/hyperlink" Target="https://www.facebook.com/PrimabodeDavao" TargetMode="External"/><Relationship Id="rId42" Type="http://schemas.openxmlformats.org/officeDocument/2006/relationships/hyperlink" Target="https://www.facebook.com/messages/t/361607417037213" TargetMode="External"/><Relationship Id="rId41" Type="http://schemas.openxmlformats.org/officeDocument/2006/relationships/hyperlink" Target="https://www.facebook.com/p/Platinum-Realty-Brokerage-61561977923251/" TargetMode="External"/><Relationship Id="rId40" Type="http://schemas.openxmlformats.org/officeDocument/2006/relationships/hyperlink" Target="https://www.facebook.com/permalink.php/?story_fbid=102997225544310&amp;id=102918528885513" TargetMode="External"/><Relationship Id="rId4" Type="http://schemas.openxmlformats.org/officeDocument/2006/relationships/hyperlink" Target="https://www.facebook.com/raul.g.anuada" TargetMode="External"/><Relationship Id="rId39" Type="http://schemas.openxmlformats.org/officeDocument/2006/relationships/hyperlink" Target="https://www.facebook.com/leoluis.navarro?mibextid=ZbWKwL" TargetMode="External"/><Relationship Id="rId38" Type="http://schemas.openxmlformats.org/officeDocument/2006/relationships/hyperlink" Target="https://www.facebook.com/danny.gaede" TargetMode="External"/><Relationship Id="rId37" Type="http://schemas.openxmlformats.org/officeDocument/2006/relationships/hyperlink" Target="https://www.messenger.com/e2ee/t/8026314247429525" TargetMode="External"/><Relationship Id="rId36" Type="http://schemas.openxmlformats.org/officeDocument/2006/relationships/hyperlink" Target="https://web.facebook.com/jiar.basyo" TargetMode="External"/><Relationship Id="rId35" Type="http://schemas.openxmlformats.org/officeDocument/2006/relationships/hyperlink" Target="https://www.facebook.com/rosedale.raiden.7" TargetMode="External"/><Relationship Id="rId34" Type="http://schemas.openxmlformats.org/officeDocument/2006/relationships/hyperlink" Target="https://www.messenger.com/e2ee/t/7742729382478496" TargetMode="External"/><Relationship Id="rId33" Type="http://schemas.openxmlformats.org/officeDocument/2006/relationships/hyperlink" Target="https://www.facebook.com/mirafer.fernandez.2024/" TargetMode="External"/><Relationship Id="rId32" Type="http://schemas.openxmlformats.org/officeDocument/2006/relationships/hyperlink" Target="https://www.facebook.com/messages/e2ee/t/9253871861341922" TargetMode="External"/><Relationship Id="rId31" Type="http://schemas.openxmlformats.org/officeDocument/2006/relationships/hyperlink" Target="https://www.facebook.com/reham.francisco" TargetMode="External"/><Relationship Id="rId30" Type="http://schemas.openxmlformats.org/officeDocument/2006/relationships/hyperlink" Target="https://www.acrbproperties.com/" TargetMode="External"/><Relationship Id="rId3" Type="http://schemas.openxmlformats.org/officeDocument/2006/relationships/hyperlink" Target="https://www.facebook.com/cgtrealty/" TargetMode="External"/><Relationship Id="rId29" Type="http://schemas.openxmlformats.org/officeDocument/2006/relationships/hyperlink" Target="https://www.facebook.com/messages/t/747919861957571" TargetMode="External"/><Relationship Id="rId28" Type="http://schemas.openxmlformats.org/officeDocument/2006/relationships/hyperlink" Target="https://www.facebook.com/MelannyAnganganREB" TargetMode="External"/><Relationship Id="rId27" Type="http://schemas.openxmlformats.org/officeDocument/2006/relationships/hyperlink" Target="https://www.facebook.com/messages/t/1664868126961377" TargetMode="External"/><Relationship Id="rId26" Type="http://schemas.openxmlformats.org/officeDocument/2006/relationships/hyperlink" Target="https://m.facebook.com/p/Mati-Real-Estate-100063533635462/" TargetMode="External"/><Relationship Id="rId25" Type="http://schemas.openxmlformats.org/officeDocument/2006/relationships/hyperlink" Target="https://www.facebook.com/LaciaRealty/" TargetMode="External"/><Relationship Id="rId2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23" Type="http://schemas.openxmlformats.org/officeDocument/2006/relationships/hyperlink" Target="https://www.facebook.com/magdasalrealty/" TargetMode="External"/><Relationship Id="rId22" Type="http://schemas.openxmlformats.org/officeDocument/2006/relationships/hyperlink" Target="https://www.facebook.com/KhemArellanoRES" TargetMode="External"/><Relationship Id="rId21" Type="http://schemas.openxmlformats.org/officeDocument/2006/relationships/hyperlink" Target="https://htrealty.ph/" TargetMode="External"/><Relationship Id="rId20" Type="http://schemas.openxmlformats.org/officeDocument/2006/relationships/hyperlink" Target="https://www.facebook.com/HTRealtyPhilippines" TargetMode="External"/><Relationship Id="rId2" Type="http://schemas.openxmlformats.org/officeDocument/2006/relationships/hyperlink" Target="https://www.facebook.com/messages/e2ee/t/8142342699162830" TargetMode="External"/><Relationship Id="rId19" Type="http://schemas.openxmlformats.org/officeDocument/2006/relationships/hyperlink" Target="https://www.facebook.com/messages/t/635053346628851" TargetMode="External"/><Relationship Id="rId18" Type="http://schemas.openxmlformats.org/officeDocument/2006/relationships/hyperlink" Target="https://www.facebook.com/tissueculturebanana/" TargetMode="External"/><Relationship Id="rId17" Type="http://schemas.openxmlformats.org/officeDocument/2006/relationships/hyperlink" Target="http://fujirealtydavao.com" TargetMode="External"/><Relationship Id="rId16" Type="http://schemas.openxmlformats.org/officeDocument/2006/relationships/hyperlink" Target="https://www.facebook.com/FujiRealtyAndDevelopmentCorporation/" TargetMode="External"/><Relationship Id="rId15" Type="http://schemas.openxmlformats.org/officeDocument/2006/relationships/hyperlink" Target="https://www.facebook.com/beautyferl?mibextid=ZbWKwL" TargetMode="External"/><Relationship Id="rId14" Type="http://schemas.openxmlformats.org/officeDocument/2006/relationships/hyperlink" Target="https://www.dmcihomes.com/" TargetMode="External"/><Relationship Id="rId13" Type="http://schemas.openxmlformats.org/officeDocument/2006/relationships/hyperlink" Target="http://www.davaopropertysolutions.com" TargetMode="External"/><Relationship Id="rId12" Type="http://schemas.openxmlformats.org/officeDocument/2006/relationships/hyperlink" Target="https://www.facebook.com/davaopropertysolutions/" TargetMode="External"/><Relationship Id="rId11" Type="http://schemas.openxmlformats.org/officeDocument/2006/relationships/hyperlink" Target="https://propertyproviders.ph/pioneers/" TargetMode="External"/><Relationship Id="rId10" Type="http://schemas.openxmlformats.org/officeDocument/2006/relationships/hyperlink" Target="https://www.facebook.com/davaopropertyportal/" TargetMode="External"/><Relationship Id="rId1" Type="http://schemas.openxmlformats.org/officeDocument/2006/relationships/hyperlink" Target="https://apolonioandgeonzonrealty.com/"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www.facebook.com/DavaoPropertyRealty/" TargetMode="External"/><Relationship Id="rId8" Type="http://schemas.openxmlformats.org/officeDocument/2006/relationships/hyperlink" Target="https://davaohouselot.com/mati-real-estate-broker/" TargetMode="External"/><Relationship Id="rId7" Type="http://schemas.openxmlformats.org/officeDocument/2006/relationships/hyperlink" Target="https://www.facebook.com/messages/e2ee/t/8142342699162830" TargetMode="External"/><Relationship Id="rId6" Type="http://schemas.openxmlformats.org/officeDocument/2006/relationships/hyperlink" Target="https://apolonioandgeonzonrealty.com/" TargetMode="External"/><Relationship Id="rId5" Type="http://schemas.openxmlformats.org/officeDocument/2006/relationships/hyperlink" Target="mailto:davaoestateproperty@gmail.com" TargetMode="External"/><Relationship Id="rId4" Type="http://schemas.openxmlformats.org/officeDocument/2006/relationships/hyperlink" Target="https://www.facebook.com/ApolonioandGeonzonRealtyDavaoCity/" TargetMode="External"/><Relationship Id="rId38" Type="http://schemas.openxmlformats.org/officeDocument/2006/relationships/hyperlink" Target="https://www.facebook.com/HomesPlatinumRealty/" TargetMode="External"/><Relationship Id="rId37" Type="http://schemas.openxmlformats.org/officeDocument/2006/relationships/hyperlink" Target="https://www.facebook.com/BlackAngel0414?mibextid=LQQJ4d" TargetMode="External"/><Relationship Id="rId36" Type="http://schemas.openxmlformats.org/officeDocument/2006/relationships/hyperlink" Target="https://www.facebook.com/HomesPlatinumRealty/https://www.facebook.com/BlackAngel0414?mibextid=LQQJ4d" TargetMode="External"/><Relationship Id="rId35" Type="http://schemas.openxmlformats.org/officeDocument/2006/relationships/hyperlink" Target="https://www.facebook.com/emilia.fajardo.pabilan" TargetMode="External"/><Relationship Id="rId34" Type="http://schemas.openxmlformats.org/officeDocument/2006/relationships/hyperlink" Target="https://www.facebook.com/RMERUSSELREALTY/" TargetMode="External"/><Relationship Id="rId33" Type="http://schemas.openxmlformats.org/officeDocument/2006/relationships/hyperlink" Target="https://propertyproviders.ph/pioneers/" TargetMode="External"/><Relationship Id="rId32" Type="http://schemas.openxmlformats.org/officeDocument/2006/relationships/hyperlink" Target="https://www.messenger.com/e2ee/t/7742729382478496" TargetMode="External"/><Relationship Id="rId31" Type="http://schemas.openxmlformats.org/officeDocument/2006/relationships/hyperlink" Target="https://www.facebook.com/mirafer.fernandez.2024/" TargetMode="External"/><Relationship Id="rId30" Type="http://schemas.openxmlformats.org/officeDocument/2006/relationships/hyperlink" Target="https://www.facebook.com/tissueculturebanana/" TargetMode="External"/><Relationship Id="rId3" Type="http://schemas.openxmlformats.org/officeDocument/2006/relationships/hyperlink" Target="mailto:lea@davaoproperties.com" TargetMode="External"/><Relationship Id="rId29" Type="http://schemas.openxmlformats.org/officeDocument/2006/relationships/hyperlink" Target="https://www.messenger.com/e2ee/t/8060634060665609" TargetMode="External"/><Relationship Id="rId28" Type="http://schemas.openxmlformats.org/officeDocument/2006/relationships/hyperlink" Target="https://www.facebook.com/princedior.sepe" TargetMode="External"/><Relationship Id="rId27" Type="http://schemas.openxmlformats.org/officeDocument/2006/relationships/hyperlink" Target="https://www.facebook.com/permalink.php/?story_fbid=102997225544310&amp;id=102918528885513" TargetMode="External"/><Relationship Id="rId26" Type="http://schemas.openxmlformats.org/officeDocument/2006/relationships/hyperlink" Target="https://www.facebook.com/rosedale.raiden.7" TargetMode="External"/><Relationship Id="rId25" Type="http://schemas.openxmlformats.org/officeDocument/2006/relationships/hyperlink" Target="https://www.facebook.com/beautyferl?mibextid=ZbWKwL" TargetMode="External"/><Relationship Id="rId24" Type="http://schemas.openxmlformats.org/officeDocument/2006/relationships/hyperlink" Target="https://www.facebook.com/danny.gaede" TargetMode="External"/><Relationship Id="rId23" Type="http://schemas.openxmlformats.org/officeDocument/2006/relationships/hyperlink" Target="https://www.facebook.com/villocinorealty/" TargetMode="External"/><Relationship Id="rId22" Type="http://schemas.openxmlformats.org/officeDocument/2006/relationships/hyperlink" Target="https://www.facebook.com/profile.php?id=100076220557970" TargetMode="External"/><Relationship Id="rId21" Type="http://schemas.openxmlformats.org/officeDocument/2006/relationships/hyperlink" Target="https://www.facebook.com/stellarrealtyph/" TargetMode="External"/><Relationship Id="rId20" Type="http://schemas.openxmlformats.org/officeDocument/2006/relationships/hyperlink" Target="mailto:amhelinabrahan08@gmail.com" TargetMode="External"/><Relationship Id="rId2" Type="http://schemas.openxmlformats.org/officeDocument/2006/relationships/hyperlink" Target="https://htrealty.ph/" TargetMode="External"/><Relationship Id="rId19" Type="http://schemas.openxmlformats.org/officeDocument/2006/relationships/hyperlink" Target="https://www.propseekerrealty.com/?fbclid=IwZXh0bgNhZW0CMTAAAR2un3aZvaJVRz5D4JKonEJr-OG7CZdE_ugScGPervR40ahgPX8n-VBU1UE_aem_Q1XzpHMg5UwEnMGbOCqxjQ" TargetMode="External"/><Relationship Id="rId18" Type="http://schemas.openxmlformats.org/officeDocument/2006/relationships/hyperlink" Target="https://www.facebook.com/propertyseekerrealty" TargetMode="External"/><Relationship Id="rId17" Type="http://schemas.openxmlformats.org/officeDocument/2006/relationships/hyperlink" Target="https://www.facebook.com/PrimabodeDavao" TargetMode="External"/><Relationship Id="rId16" Type="http://schemas.openxmlformats.org/officeDocument/2006/relationships/hyperlink" Target="https://www.facebook.com/leoluis.navarro?mibextid=ZbWKwL" TargetMode="External"/><Relationship Id="rId15" Type="http://schemas.openxmlformats.org/officeDocument/2006/relationships/hyperlink" Target="https://m.facebook.com/p/Mati-Real-Estate-100063533635462/" TargetMode="External"/><Relationship Id="rId1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13" Type="http://schemas.openxmlformats.org/officeDocument/2006/relationships/hyperlink" Target="https://www.facebook.com/magdasalrealty/" TargetMode="External"/><Relationship Id="rId12" Type="http://schemas.openxmlformats.org/officeDocument/2006/relationships/hyperlink" Target="https://www.dmcihomes.com/" TargetMode="External"/><Relationship Id="rId11" Type="http://schemas.openxmlformats.org/officeDocument/2006/relationships/hyperlink" Target="http://davaocityproperty.com" TargetMode="External"/><Relationship Id="rId10" Type="http://schemas.openxmlformats.org/officeDocument/2006/relationships/hyperlink" Target="http://davaocityproperty.com/" TargetMode="External"/><Relationship Id="rId1" Type="http://schemas.openxmlformats.org/officeDocument/2006/relationships/hyperlink" Target="https://www.facebook.com/HTRealtyPhilippines" TargetMode="External"/></Relationships>
</file>

<file path=xl/worksheets/_rels/sheet7.xml.rels><?xml version="1.0" encoding="UTF-8" standalone="yes"?>
<Relationships xmlns="http://schemas.openxmlformats.org/package/2006/relationships"><Relationship Id="rId6" Type="http://schemas.openxmlformats.org/officeDocument/2006/relationships/hyperlink" Target="https://vestmorerealty.com/" TargetMode="External"/><Relationship Id="rId5" Type="http://schemas.openxmlformats.org/officeDocument/2006/relationships/hyperlink" Target="https://www.facebook.com/profile.php?id=100076220557970" TargetMode="External"/><Relationship Id="rId4" Type="http://schemas.openxmlformats.org/officeDocument/2006/relationships/hyperlink" Target="https://www.facebook.com/MaturanRealty/" TargetMode="External"/><Relationship Id="rId3" Type="http://schemas.openxmlformats.org/officeDocument/2006/relationships/hyperlink" Target="https://www.facebook.com/profile.php?id=100066808142439&amp;mibextid=LQQJ4d" TargetMode="External"/><Relationship Id="rId2" Type="http://schemas.openxmlformats.org/officeDocument/2006/relationships/hyperlink" Target="https://www.facebook.com/p/Fullworth-Properties-Realty-100064630377086/" TargetMode="External"/><Relationship Id="rId1" Type="http://schemas.openxmlformats.org/officeDocument/2006/relationships/hyperlink" Target="https://www.facebook.com/media/set/?set=a.102382736468423.1281.100000900915389&amp;type=3" TargetMode="External"/></Relationships>
</file>

<file path=xl/worksheets/_rels/sheet8.xml.rels><?xml version="1.0" encoding="UTF-8" standalone="yes"?>
<Relationships xmlns="http://schemas.openxmlformats.org/package/2006/relationships"><Relationship Id="rId99" Type="http://schemas.openxmlformats.org/officeDocument/2006/relationships/hyperlink" Target="https://www.facebook.com/ENFiDGermany" TargetMode="External"/><Relationship Id="rId98" Type="http://schemas.openxmlformats.org/officeDocument/2006/relationships/hyperlink" Target="https://www.facebook.com/Babaylan-Germany-The-Philippine-Womens-Network-in-Europe-428739363858671/" TargetMode="External"/><Relationship Id="rId97" Type="http://schemas.openxmlformats.org/officeDocument/2006/relationships/hyperlink" Target="https://www.facebook.com/groups/215663038994131/" TargetMode="External"/><Relationship Id="rId96" Type="http://schemas.openxmlformats.org/officeDocument/2006/relationships/hyperlink" Target="https://newyorkpcg.org/pcgny/culture-community/fil-am-community-directory/www.uniffiednj.org" TargetMode="External"/><Relationship Id="rId95" Type="http://schemas.openxmlformats.org/officeDocument/2006/relationships/hyperlink" Target="https://filschool-nynj.org/" TargetMode="External"/><Relationship Id="rId94" Type="http://schemas.openxmlformats.org/officeDocument/2006/relationships/hyperlink" Target="https://newyorkpcg.org/pcgny/culture-community/fil-am-community-directory/www.sanpablocityassociation.org" TargetMode="External"/><Relationship Id="rId93" Type="http://schemas.openxmlformats.org/officeDocument/2006/relationships/hyperlink" Target="https://sipagny.org/" TargetMode="External"/><Relationship Id="rId92" Type="http://schemas.openxmlformats.org/officeDocument/2006/relationships/hyperlink" Target="https://newyorkpcg.org/pcgny/culture-community/fil-am-community-directory/filamvet.org" TargetMode="External"/><Relationship Id="rId91" Type="http://schemas.openxmlformats.org/officeDocument/2006/relationships/hyperlink" Target="https://pfay.org/" TargetMode="External"/><Relationship Id="rId90" Type="http://schemas.openxmlformats.org/officeDocument/2006/relationships/hyperlink" Target="http://www.pnanewyork.org/" TargetMode="External"/><Relationship Id="rId9" Type="http://schemas.openxmlformats.org/officeDocument/2006/relationships/hyperlink" Target="https://www.facebook.com/groups/114421491913374/?mibextid=6NoCDW" TargetMode="External"/><Relationship Id="rId89" Type="http://schemas.openxmlformats.org/officeDocument/2006/relationships/hyperlink" Target="http://www.pidci.org/" TargetMode="External"/><Relationship Id="rId88" Type="http://schemas.openxmlformats.org/officeDocument/2006/relationships/hyperlink" Target="https://newyorkpcg.org/pcgny/culture-community/fil-am-community-directory/www.pafcomnj.org" TargetMode="External"/><Relationship Id="rId87" Type="http://schemas.openxmlformats.org/officeDocument/2006/relationships/hyperlink" Target="https://www.facebook.com/paccal.org" TargetMode="External"/><Relationship Id="rId86" Type="http://schemas.openxmlformats.org/officeDocument/2006/relationships/hyperlink" Target="http://www.kindingsindaw.org/" TargetMode="External"/><Relationship Id="rId85" Type="http://schemas.openxmlformats.org/officeDocument/2006/relationships/hyperlink" Target="http://www.philnyjaycees.org/" TargetMode="External"/><Relationship Id="rId84" Type="http://schemas.openxmlformats.org/officeDocument/2006/relationships/hyperlink" Target="http://www.handangtumulong.org/" TargetMode="External"/><Relationship Id="rId83" Type="http://schemas.openxmlformats.org/officeDocument/2006/relationships/hyperlink" Target="https://filamvt802.wixsite.com/filiamcomunityvt" TargetMode="External"/><Relationship Id="rId82" Type="http://schemas.openxmlformats.org/officeDocument/2006/relationships/hyperlink" Target="https://www.fcnnef.org/" TargetMode="External"/><Relationship Id="rId81" Type="http://schemas.openxmlformats.org/officeDocument/2006/relationships/hyperlink" Target="https://www.faaeinc.org/" TargetMode="External"/><Relationship Id="rId80" Type="http://schemas.openxmlformats.org/officeDocument/2006/relationships/hyperlink" Target="https://newyorkpcg.org/pcgny/culture-community/fil-am-community-directory/faacnj.org" TargetMode="External"/><Relationship Id="rId8" Type="http://schemas.openxmlformats.org/officeDocument/2006/relationships/hyperlink" Target="https://www.facebook.com/FilbritsCommunityDorset" TargetMode="External"/><Relationship Id="rId79" Type="http://schemas.openxmlformats.org/officeDocument/2006/relationships/hyperlink" Target="https://fiestainamerica.com/" TargetMode="External"/><Relationship Id="rId78" Type="http://schemas.openxmlformats.org/officeDocument/2006/relationships/hyperlink" Target="https://newyorkpcg.org/pcgny/culture-community/fil-am-community-directory/chsnaf.org" TargetMode="External"/><Relationship Id="rId77" Type="http://schemas.openxmlformats.org/officeDocument/2006/relationships/hyperlink" Target="https://newyorkpcg.org/pcgny/culture-community/fil-am-community-directory/www.cebuinc.org" TargetMode="External"/><Relationship Id="rId76" Type="http://schemas.openxmlformats.org/officeDocument/2006/relationships/hyperlink" Target="https://newyorkpcg.org/pcgny/culture-community/fil-am-community-directory/" TargetMode="External"/><Relationship Id="rId75" Type="http://schemas.openxmlformats.org/officeDocument/2006/relationships/hyperlink" Target="https://www.pametmidatlantic.org/" TargetMode="External"/><Relationship Id="rId74" Type="http://schemas.openxmlformats.org/officeDocument/2006/relationships/hyperlink" Target="http://pisayian.org" TargetMode="External"/><Relationship Id="rId73" Type="http://schemas.openxmlformats.org/officeDocument/2006/relationships/hyperlink" Target="https://youtube.com/@sintadancecrew" TargetMode="External"/><Relationship Id="rId72" Type="http://schemas.openxmlformats.org/officeDocument/2006/relationships/hyperlink" Target="https://theruthsembranofoundation.org/" TargetMode="External"/><Relationship Id="rId71" Type="http://schemas.openxmlformats.org/officeDocument/2006/relationships/hyperlink" Target="http://filamsociety.org" TargetMode="External"/><Relationship Id="rId70" Type="http://schemas.openxmlformats.org/officeDocument/2006/relationships/hyperlink" Target="http://www.paswpb.org" TargetMode="External"/><Relationship Id="rId7" Type="http://schemas.openxmlformats.org/officeDocument/2006/relationships/hyperlink" Target="https://creativeheartsunited.org.uk/" TargetMode="External"/><Relationship Id="rId69" Type="http://schemas.openxmlformats.org/officeDocument/2006/relationships/hyperlink" Target="http://www.filamjaxchamber.org" TargetMode="External"/><Relationship Id="rId68" Type="http://schemas.openxmlformats.org/officeDocument/2006/relationships/hyperlink" Target="http://www.hudyakasadmv.org" TargetMode="External"/><Relationship Id="rId67" Type="http://schemas.openxmlformats.org/officeDocument/2006/relationships/hyperlink" Target="https://www.pgbiguardiansonline.net/organization/overseas-chapters/cayman-islands/" TargetMode="External"/><Relationship Id="rId66" Type="http://schemas.openxmlformats.org/officeDocument/2006/relationships/hyperlink" Target="http://www.filipinawomensnetwork.org" TargetMode="External"/><Relationship Id="rId65" Type="http://schemas.openxmlformats.org/officeDocument/2006/relationships/hyperlink" Target="http://ateneodc.org" TargetMode="External"/><Relationship Id="rId64" Type="http://schemas.openxmlformats.org/officeDocument/2006/relationships/hyperlink" Target="https://phcdc.net" TargetMode="External"/><Relationship Id="rId63" Type="http://schemas.openxmlformats.org/officeDocument/2006/relationships/hyperlink" Target="http://www.bcbpnyc.com/washington-main.html" TargetMode="External"/><Relationship Id="rId62" Type="http://schemas.openxmlformats.org/officeDocument/2006/relationships/hyperlink" Target="https://filamsc.org/" TargetMode="External"/><Relationship Id="rId61" Type="http://schemas.openxmlformats.org/officeDocument/2006/relationships/hyperlink" Target="http://filamcancercare.org" TargetMode="External"/><Relationship Id="rId60" Type="http://schemas.openxmlformats.org/officeDocument/2006/relationships/hyperlink" Target="http://www.makabayangeorgia.org" TargetMode="External"/><Relationship Id="rId6" Type="http://schemas.openxmlformats.org/officeDocument/2006/relationships/hyperlink" Target="https://www.facebook.com/groups/CAVITENOSuk/?mibextid=6NoCDW" TargetMode="External"/><Relationship Id="rId59" Type="http://schemas.openxmlformats.org/officeDocument/2006/relationships/hyperlink" Target="http://fccofcharleston.com" TargetMode="External"/><Relationship Id="rId58" Type="http://schemas.openxmlformats.org/officeDocument/2006/relationships/hyperlink" Target="https://www.humana.com/aoa/1897819" TargetMode="External"/><Relationship Id="rId57" Type="http://schemas.openxmlformats.org/officeDocument/2006/relationships/hyperlink" Target="http://www.lindabenfoundation.org" TargetMode="External"/><Relationship Id="rId56" Type="http://schemas.openxmlformats.org/officeDocument/2006/relationships/hyperlink" Target="https://www.pamanainc.org/" TargetMode="External"/><Relationship Id="rId55" Type="http://schemas.openxmlformats.org/officeDocument/2006/relationships/hyperlink" Target="http://www.gk-usa.org" TargetMode="External"/><Relationship Id="rId54" Type="http://schemas.openxmlformats.org/officeDocument/2006/relationships/hyperlink" Target="http://www.ancopusa.org" TargetMode="External"/><Relationship Id="rId53" Type="http://schemas.openxmlformats.org/officeDocument/2006/relationships/hyperlink" Target="http://www.burudungshelpinghand.org" TargetMode="External"/><Relationship Id="rId52" Type="http://schemas.openxmlformats.org/officeDocument/2006/relationships/hyperlink" Target="http://www.filamcag.org" TargetMode="External"/><Relationship Id="rId51" Type="http://schemas.openxmlformats.org/officeDocument/2006/relationships/hyperlink" Target="http://www.mmomusa.org" TargetMode="External"/><Relationship Id="rId50" Type="http://schemas.openxmlformats.org/officeDocument/2006/relationships/hyperlink" Target="http://uniffiedmd.com" TargetMode="External"/><Relationship Id="rId5" Type="http://schemas.openxmlformats.org/officeDocument/2006/relationships/hyperlink" Target="https://www.facebook.com/groups/512669048841193/?mibextid=6NoCDW" TargetMode="External"/><Relationship Id="rId49" Type="http://schemas.openxmlformats.org/officeDocument/2006/relationships/hyperlink" Target="http://www.upaadcmdva.org/" TargetMode="External"/><Relationship Id="rId48" Type="http://schemas.openxmlformats.org/officeDocument/2006/relationships/hyperlink" Target="https://www.pusofoundation.org/" TargetMode="External"/><Relationship Id="rId47" Type="http://schemas.openxmlformats.org/officeDocument/2006/relationships/hyperlink" Target="https://www.facebook.com/pnamdc" TargetMode="External"/><Relationship Id="rId46" Type="http://schemas.openxmlformats.org/officeDocument/2006/relationships/hyperlink" Target="https://www.facebook.com/groups/277660239104120" TargetMode="External"/><Relationship Id="rId45" Type="http://schemas.openxmlformats.org/officeDocument/2006/relationships/hyperlink" Target="https://www.facebook.com/groups/2075754849370441/?ref=share" TargetMode="External"/><Relationship Id="rId44" Type="http://schemas.openxmlformats.org/officeDocument/2006/relationships/hyperlink" Target="https://www.facebook.com/Philippine-Cultural-Foundation-Inc-121124187441/" TargetMode="External"/><Relationship Id="rId43" Type="http://schemas.openxmlformats.org/officeDocument/2006/relationships/hyperlink" Target="https://www.facebook.com/paccdc" TargetMode="External"/><Relationship Id="rId42" Type="http://schemas.openxmlformats.org/officeDocument/2006/relationships/hyperlink" Target="https://www.facebook.com/TheFilipinoScientist" TargetMode="External"/><Relationship Id="rId41" Type="http://schemas.openxmlformats.org/officeDocument/2006/relationships/hyperlink" Target="https://www.facebook.com/MACAInc" TargetMode="External"/><Relationship Id="rId40" Type="http://schemas.openxmlformats.org/officeDocument/2006/relationships/hyperlink" Target="https://www.facebook.com/groups/307166396029188" TargetMode="External"/><Relationship Id="rId4" Type="http://schemas.openxmlformats.org/officeDocument/2006/relationships/hyperlink" Target="https://www.facebook.com/people/Berkshire-Filipino-British-Association-BFBA/100064642151521/" TargetMode="External"/><Relationship Id="rId39" Type="http://schemas.openxmlformats.org/officeDocument/2006/relationships/hyperlink" Target="https://www.facebook.com/KatipunanMD" TargetMode="External"/><Relationship Id="rId38" Type="http://schemas.openxmlformats.org/officeDocument/2006/relationships/hyperlink" Target="https://www.facebook.com/MISS-TEEN-Philippines-America-by-ISA-103663363108260" TargetMode="External"/><Relationship Id="rId37" Type="http://schemas.openxmlformats.org/officeDocument/2006/relationships/hyperlink" Target="https://www.facebook.com/groups/133927293300255" TargetMode="External"/><Relationship Id="rId36" Type="http://schemas.openxmlformats.org/officeDocument/2006/relationships/hyperlink" Target="https://www.facebook.com/FYLPRO" TargetMode="External"/><Relationship Id="rId35" Type="http://schemas.openxmlformats.org/officeDocument/2006/relationships/hyperlink" Target="http://facebook.com/GROUPS/89505614391" TargetMode="External"/><Relationship Id="rId34" Type="http://schemas.openxmlformats.org/officeDocument/2006/relationships/hyperlink" Target="https://www.usphsociety.org/" TargetMode="External"/><Relationship Id="rId33" Type="http://schemas.openxmlformats.org/officeDocument/2006/relationships/hyperlink" Target="http://www.british-filipino.com/" TargetMode="External"/><Relationship Id="rId32" Type="http://schemas.openxmlformats.org/officeDocument/2006/relationships/hyperlink" Target="https://www.instagram.com/sampayan.atbp/" TargetMode="External"/><Relationship Id="rId31" Type="http://schemas.openxmlformats.org/officeDocument/2006/relationships/hyperlink" Target="https://www.facebook.com/groups/1871586166485320/" TargetMode="External"/><Relationship Id="rId30" Type="http://schemas.openxmlformats.org/officeDocument/2006/relationships/hyperlink" Target="https://www.facebook.com/PhilippineTheatreUk/" TargetMode="External"/><Relationship Id="rId3" Type="http://schemas.openxmlformats.org/officeDocument/2006/relationships/hyperlink" Target="https://www.facebook.com/benguetorganization.uk/" TargetMode="External"/><Relationship Id="rId29" Type="http://schemas.openxmlformats.org/officeDocument/2006/relationships/hyperlink" Target="https://www.facebook.com/pnaunitedkingdom/" TargetMode="External"/><Relationship Id="rId28" Type="http://schemas.openxmlformats.org/officeDocument/2006/relationships/hyperlink" Target="https://philippinecentre.com/about-us" TargetMode="External"/><Relationship Id="rId27" Type="http://schemas.openxmlformats.org/officeDocument/2006/relationships/hyperlink" Target="https://web.facebook.com/groups/kclfilipinosociety/" TargetMode="External"/><Relationship Id="rId26" Type="http://schemas.openxmlformats.org/officeDocument/2006/relationships/hyperlink" Target="https://web.facebook.com/KCLFilipinoEvents" TargetMode="External"/><Relationship Id="rId25" Type="http://schemas.openxmlformats.org/officeDocument/2006/relationships/hyperlink" Target="https://web.facebook.com/groups/kclfilipinosociety" TargetMode="External"/><Relationship Id="rId24" Type="http://schemas.openxmlformats.org/officeDocument/2006/relationships/hyperlink" Target="https://www.kanlungan.org.uk/" TargetMode="External"/><Relationship Id="rId23" Type="http://schemas.openxmlformats.org/officeDocument/2006/relationships/hyperlink" Target="http://www.kalayaan.org.uk/" TargetMode="External"/><Relationship Id="rId22" Type="http://schemas.openxmlformats.org/officeDocument/2006/relationships/hyperlink" Target="https://www.facebook.com/groups/igorotuk/" TargetMode="External"/><Relationship Id="rId21" Type="http://schemas.openxmlformats.org/officeDocument/2006/relationships/hyperlink" Target="https://www.harayachoir.com/" TargetMode="External"/><Relationship Id="rId20" Type="http://schemas.openxmlformats.org/officeDocument/2006/relationships/hyperlink" Target="https://www.facebook.com/groups/fil.scot/" TargetMode="External"/><Relationship Id="rId2" Type="http://schemas.openxmlformats.org/officeDocument/2006/relationships/hyperlink" Target="https://www.facebook.com/groups/188104127893396/" TargetMode="External"/><Relationship Id="rId19" Type="http://schemas.openxmlformats.org/officeDocument/2006/relationships/hyperlink" Target="https://www.facebook.com/FilipinoWomensAssociationUK/" TargetMode="External"/><Relationship Id="rId18" Type="http://schemas.openxmlformats.org/officeDocument/2006/relationships/hyperlink" Target="https://filipinounite.com/filipino-unite" TargetMode="External"/><Relationship Id="rId17" Type="http://schemas.openxmlformats.org/officeDocument/2006/relationships/hyperlink" Target="https://www.facebook.com/groups/683250062116631/" TargetMode="External"/><Relationship Id="rId16" Type="http://schemas.openxmlformats.org/officeDocument/2006/relationships/hyperlink" Target="https://www.facebook.com/groups/345929123039195/" TargetMode="External"/><Relationship Id="rId15" Type="http://schemas.openxmlformats.org/officeDocument/2006/relationships/hyperlink" Target="https://www.facebook.com/groups/233526906773947/" TargetMode="External"/><Relationship Id="rId14" Type="http://schemas.openxmlformats.org/officeDocument/2006/relationships/hyperlink" Target="https://www.facebook.com/groups/1257451111013873" TargetMode="External"/><Relationship Id="rId13" Type="http://schemas.openxmlformats.org/officeDocument/2006/relationships/hyperlink" Target="https://www.facebook.com/profile.php?id=100080498592920" TargetMode="External"/><Relationship Id="rId12" Type="http://schemas.openxmlformats.org/officeDocument/2006/relationships/hyperlink" Target="https://www.facebook.com/groups/185380786126263/" TargetMode="External"/><Relationship Id="rId110" Type="http://schemas.openxmlformats.org/officeDocument/2006/relationships/hyperlink" Target="https://www.instagram.com/filipinos_in_ulm/" TargetMode="External"/><Relationship Id="rId11" Type="http://schemas.openxmlformats.org/officeDocument/2006/relationships/hyperlink" Target="https://www.facebook.com/groups/fas.org/" TargetMode="External"/><Relationship Id="rId109" Type="http://schemas.openxmlformats.org/officeDocument/2006/relationships/hyperlink" Target="mailto:joanna.tscharntke@gmail.com" TargetMode="External"/><Relationship Id="rId108" Type="http://schemas.openxmlformats.org/officeDocument/2006/relationships/hyperlink" Target="mailto:mae.kuberka@t-online.de" TargetMode="External"/><Relationship Id="rId107" Type="http://schemas.openxmlformats.org/officeDocument/2006/relationships/hyperlink" Target="https://www.facebook.com/groups/filipinosingermany" TargetMode="External"/><Relationship Id="rId106" Type="http://schemas.openxmlformats.org/officeDocument/2006/relationships/hyperlink" Target="https://www.facebook.com/groups/studyandworkingermanyforfilipinos" TargetMode="External"/><Relationship Id="rId105" Type="http://schemas.openxmlformats.org/officeDocument/2006/relationships/hyperlink" Target="https://www.facebook.com/groups/silliman.germanyeurope" TargetMode="External"/><Relationship Id="rId104" Type="http://schemas.openxmlformats.org/officeDocument/2006/relationships/hyperlink" Target="https://www.facebook.com/PhilippinischDeutscherVereinNordschwarzwald1994Ev/" TargetMode="External"/><Relationship Id="rId103" Type="http://schemas.openxmlformats.org/officeDocument/2006/relationships/hyperlink" Target="https://www.facebook.com/Philippine-Ylang-Ylang-e-V-140532936643618" TargetMode="External"/><Relationship Id="rId102" Type="http://schemas.openxmlformats.org/officeDocument/2006/relationships/hyperlink" Target="https://www.facebook.com/msghamburg" TargetMode="External"/><Relationship Id="rId101" Type="http://schemas.openxmlformats.org/officeDocument/2006/relationships/hyperlink" Target="https://de-de.facebook.com/luvimin.3islands/" TargetMode="External"/><Relationship Id="rId100" Type="http://schemas.openxmlformats.org/officeDocument/2006/relationships/hyperlink" Target="https://www.facebook.com/groups/148618511505/?ref=share" TargetMode="External"/><Relationship Id="rId10" Type="http://schemas.openxmlformats.org/officeDocument/2006/relationships/hyperlink" Target="https://www.facebook.com/FilipinoAssociationBirminghamUK/" TargetMode="External"/><Relationship Id="rId1" Type="http://schemas.openxmlformats.org/officeDocument/2006/relationships/hyperlink" Target="http://www.bahaykubo.org.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expat.com/" TargetMode="External"/><Relationship Id="rId2" Type="http://schemas.openxmlformats.org/officeDocument/2006/relationships/hyperlink" Target="https://esalesinternational.com/sell-property-the-philippines/" TargetMode="External"/><Relationship Id="rId1" Type="http://schemas.openxmlformats.org/officeDocument/2006/relationships/hyperlink" Target="https://list.juwai.com/" TargetMode="External"/></Relationships>
</file>

<file path=xl/worksheets/_rels/sheet10.xml.rels><?xml version="1.0" encoding="UTF-8" standalone="yes"?>
<Relationships xmlns="http://schemas.openxmlformats.org/package/2006/relationships"><Relationship Id="rId9" Type="http://schemas.openxmlformats.org/officeDocument/2006/relationships/hyperlink" Target="https://en.wikipedia.org/wiki/New_York_(state)" TargetMode="External"/><Relationship Id="rId8" Type="http://schemas.openxmlformats.org/officeDocument/2006/relationships/hyperlink" Target="https://en.wikipedia.org/wiki/Illinois" TargetMode="External"/><Relationship Id="rId7" Type="http://schemas.openxmlformats.org/officeDocument/2006/relationships/hyperlink" Target="https://en.wikipedia.org/wiki/Nevada" TargetMode="External"/><Relationship Id="rId6" Type="http://schemas.openxmlformats.org/officeDocument/2006/relationships/hyperlink" Target="https://en.wikipedia.org/wiki/Washington_(state)" TargetMode="External"/><Relationship Id="rId5" Type="http://schemas.openxmlformats.org/officeDocument/2006/relationships/hyperlink" Target="https://en.wikipedia.org/wiki/Texas" TargetMode="External"/><Relationship Id="rId4" Type="http://schemas.openxmlformats.org/officeDocument/2006/relationships/hyperlink" Target="https://en.wikipedia.org/wiki/Hawaii" TargetMode="External"/><Relationship Id="rId3" Type="http://schemas.openxmlformats.org/officeDocument/2006/relationships/hyperlink" Target="https://en.wikipedia.org/wiki/Filipino_Americans" TargetMode="External"/><Relationship Id="rId2" Type="http://schemas.openxmlformats.org/officeDocument/2006/relationships/hyperlink" Target="https://en.wikipedia.org/wiki/California" TargetMode="External"/><Relationship Id="rId12" Type="http://schemas.openxmlformats.org/officeDocument/2006/relationships/hyperlink" Target="https://en.wikipedia.org/wiki/Virginia" TargetMode="External"/><Relationship Id="rId11" Type="http://schemas.openxmlformats.org/officeDocument/2006/relationships/hyperlink" Target="https://en.wikipedia.org/wiki/New_Jersey" TargetMode="External"/><Relationship Id="rId10" Type="http://schemas.openxmlformats.org/officeDocument/2006/relationships/hyperlink" Target="https://en.wikipedia.org/wiki/Florida" TargetMode="External"/><Relationship Id="rId1" Type="http://schemas.openxmlformats.org/officeDocument/2006/relationships/hyperlink" Target="https://en.wikipedia.org/wiki/Demographics_of_Filipino_Americans" TargetMode="External"/></Relationships>
</file>

<file path=xl/worksheets/_rels/sheet11.xml.rels><?xml version="1.0" encoding="UTF-8" standalone="yes"?>
<Relationships xmlns="http://schemas.openxmlformats.org/package/2006/relationships"><Relationship Id="rId6" Type="http://schemas.openxmlformats.org/officeDocument/2006/relationships/hyperlink" Target="https://www.messenger.com/e2ee/t/9955794257877020" TargetMode="External"/><Relationship Id="rId5" Type="http://schemas.openxmlformats.org/officeDocument/2006/relationships/hyperlink" Target="https://www.messenger.com/e2ee/t/8026314247429525" TargetMode="External"/><Relationship Id="rId4" Type="http://schemas.openxmlformats.org/officeDocument/2006/relationships/hyperlink" Target="https://web.facebook.com/jiar.basyo" TargetMode="External"/><Relationship Id="rId3" Type="http://schemas.openxmlformats.org/officeDocument/2006/relationships/hyperlink" Target="https://www.facebook.com/leoluis.navarro?mibextid=ZbWKwL" TargetMode="External"/><Relationship Id="rId2" Type="http://schemas.openxmlformats.org/officeDocument/2006/relationships/hyperlink" Target="https://www.messenger.com/e2ee/t/8060634060665609" TargetMode="External"/><Relationship Id="rId1" Type="http://schemas.openxmlformats.org/officeDocument/2006/relationships/hyperlink" Target="https://www.messenger.com/e2ee/t/75974570008357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J98"/>
  <sheetViews>
    <sheetView tabSelected="1" workbookViewId="0">
      <pane xSplit="1" ySplit="1" topLeftCell="B42" activePane="bottomRight" state="frozen"/>
      <selection/>
      <selection pane="topRight"/>
      <selection pane="bottomLeft"/>
      <selection pane="bottomRight" activeCell="G51" sqref="G51"/>
    </sheetView>
  </sheetViews>
  <sheetFormatPr defaultColWidth="12.6272727272727" defaultRowHeight="15.75" customHeight="1"/>
  <cols>
    <col min="1" max="1" width="24.1272727272727" customWidth="1"/>
    <col min="2" max="2" width="13.5" customWidth="1"/>
    <col min="3" max="3" width="9.88181818181818" customWidth="1"/>
    <col min="4" max="4" width="7.38181818181818" customWidth="1"/>
    <col min="5" max="5" width="13.6272727272727" customWidth="1"/>
    <col min="6" max="6" width="6.12727272727273" customWidth="1"/>
    <col min="7" max="7" width="42.8818181818182" customWidth="1"/>
    <col min="8" max="8" width="5.88181818181818" customWidth="1"/>
    <col min="9" max="9" width="28" customWidth="1"/>
    <col min="10" max="10" width="14.7272727272727" customWidth="1"/>
    <col min="11" max="11" width="17.6272727272727" customWidth="1"/>
    <col min="12" max="12" width="18.8181818181818" customWidth="1"/>
    <col min="13" max="13" width="13.6272727272727" customWidth="1"/>
    <col min="14" max="14" width="14.8818181818182" customWidth="1"/>
    <col min="15" max="16" width="7.38181818181818" customWidth="1"/>
    <col min="17" max="17" width="16.2545454545455" customWidth="1"/>
    <col min="18" max="18" width="5.5" customWidth="1"/>
    <col min="19" max="19" width="14.1272727272727" customWidth="1"/>
    <col min="20" max="20" width="10" customWidth="1"/>
    <col min="22" max="22" width="3.75454545454545" customWidth="1"/>
    <col min="23" max="23" width="11.7545454545455" customWidth="1"/>
    <col min="26" max="26" width="10.2545454545455" customWidth="1"/>
    <col min="27" max="27" width="35.3636363636364" customWidth="1"/>
  </cols>
  <sheetData>
    <row r="1" customHeight="1" spans="1:36">
      <c r="A1" s="1" t="s">
        <v>0</v>
      </c>
      <c r="B1" s="2" t="s">
        <v>1</v>
      </c>
      <c r="C1" s="2" t="s">
        <v>2</v>
      </c>
      <c r="D1" s="2" t="s">
        <v>3</v>
      </c>
      <c r="E1" s="3" t="s">
        <v>4</v>
      </c>
      <c r="F1" s="4" t="s">
        <v>5</v>
      </c>
      <c r="G1" s="4" t="s">
        <v>6</v>
      </c>
      <c r="H1" s="4" t="s">
        <v>7</v>
      </c>
      <c r="I1" s="2" t="s">
        <v>8</v>
      </c>
      <c r="J1" s="2" t="s">
        <v>9</v>
      </c>
      <c r="K1" s="2" t="s">
        <v>10</v>
      </c>
      <c r="L1" s="150" t="s">
        <v>11</v>
      </c>
      <c r="M1" s="2" t="s">
        <v>12</v>
      </c>
      <c r="N1" s="2" t="s">
        <v>13</v>
      </c>
      <c r="O1" s="2" t="s">
        <v>14</v>
      </c>
      <c r="P1" s="2" t="s">
        <v>15</v>
      </c>
      <c r="Q1" s="2" t="s">
        <v>16</v>
      </c>
      <c r="R1" s="2" t="s">
        <v>17</v>
      </c>
      <c r="S1" s="2" t="s">
        <v>18</v>
      </c>
      <c r="T1" s="2" t="s">
        <v>19</v>
      </c>
      <c r="U1" s="2" t="s">
        <v>20</v>
      </c>
      <c r="V1" s="17" t="s">
        <v>21</v>
      </c>
      <c r="W1" s="17" t="s">
        <v>22</v>
      </c>
      <c r="X1" s="18">
        <v>45673</v>
      </c>
      <c r="Y1" s="2" t="s">
        <v>23</v>
      </c>
      <c r="Z1" s="2" t="s">
        <v>24</v>
      </c>
      <c r="AA1" s="278" t="s">
        <v>25</v>
      </c>
      <c r="AB1" s="29"/>
      <c r="AC1" s="29"/>
      <c r="AD1" s="29"/>
      <c r="AE1" s="29"/>
      <c r="AF1" s="29"/>
      <c r="AG1" s="29"/>
      <c r="AH1" s="29"/>
      <c r="AI1" s="29"/>
      <c r="AJ1" s="29"/>
    </row>
    <row r="2" customHeight="1" spans="1:36">
      <c r="A2" s="8" t="s">
        <v>26</v>
      </c>
      <c r="B2" s="6" t="s">
        <v>27</v>
      </c>
      <c r="C2" s="2"/>
      <c r="D2" s="6" t="s">
        <v>28</v>
      </c>
      <c r="E2" s="8" t="s">
        <v>29</v>
      </c>
      <c r="F2" s="205"/>
      <c r="G2" s="205">
        <v>45872</v>
      </c>
      <c r="H2" s="10"/>
      <c r="I2" s="2"/>
      <c r="J2" s="2"/>
      <c r="K2" s="8" t="s">
        <v>26</v>
      </c>
      <c r="L2" s="7"/>
      <c r="M2" s="2"/>
      <c r="N2" s="8"/>
      <c r="O2" s="8"/>
      <c r="P2" s="8"/>
      <c r="Q2" s="8"/>
      <c r="R2" s="6"/>
      <c r="S2" s="264"/>
      <c r="T2" s="2"/>
      <c r="U2" s="2"/>
      <c r="V2" s="19"/>
      <c r="W2" s="19"/>
      <c r="X2" s="2"/>
      <c r="Y2" s="8"/>
      <c r="Z2" s="279"/>
      <c r="AA2" s="280"/>
      <c r="AB2" s="7"/>
      <c r="AC2" s="7"/>
      <c r="AD2" s="7"/>
      <c r="AE2" s="7"/>
      <c r="AF2" s="7"/>
      <c r="AG2" s="7"/>
      <c r="AH2" s="7"/>
      <c r="AI2" s="7"/>
      <c r="AJ2" s="7"/>
    </row>
    <row r="3" customHeight="1" spans="1:36">
      <c r="A3" s="8" t="s">
        <v>30</v>
      </c>
      <c r="B3" s="6" t="s">
        <v>31</v>
      </c>
      <c r="C3" s="2"/>
      <c r="D3" s="6" t="s">
        <v>28</v>
      </c>
      <c r="E3" s="8" t="s">
        <v>29</v>
      </c>
      <c r="F3" s="10"/>
      <c r="G3" s="10" t="s">
        <v>32</v>
      </c>
      <c r="H3" s="10"/>
      <c r="I3" s="2"/>
      <c r="J3" s="2"/>
      <c r="K3" s="6" t="s">
        <v>30</v>
      </c>
      <c r="L3" s="7"/>
      <c r="M3" s="2"/>
      <c r="N3" s="8" t="s">
        <v>30</v>
      </c>
      <c r="O3" s="8"/>
      <c r="P3" s="8"/>
      <c r="Q3" s="8"/>
      <c r="R3" s="6"/>
      <c r="S3" s="264"/>
      <c r="T3" s="2"/>
      <c r="U3" s="2"/>
      <c r="V3" s="19"/>
      <c r="W3" s="19"/>
      <c r="X3" s="2"/>
      <c r="Y3" s="8"/>
      <c r="Z3" s="279"/>
      <c r="AA3" s="280"/>
      <c r="AB3" s="7"/>
      <c r="AC3" s="7"/>
      <c r="AD3" s="7"/>
      <c r="AE3" s="7"/>
      <c r="AF3" s="7"/>
      <c r="AG3" s="7"/>
      <c r="AH3" s="7"/>
      <c r="AI3" s="7"/>
      <c r="AJ3" s="7"/>
    </row>
    <row r="4" customHeight="1" spans="1:36">
      <c r="A4" s="8" t="s">
        <v>33</v>
      </c>
      <c r="B4" s="6" t="s">
        <v>34</v>
      </c>
      <c r="C4" s="6" t="s">
        <v>35</v>
      </c>
      <c r="D4" s="6" t="s">
        <v>28</v>
      </c>
      <c r="E4" s="8" t="s">
        <v>36</v>
      </c>
      <c r="F4" s="10" t="s">
        <v>37</v>
      </c>
      <c r="G4" s="20"/>
      <c r="H4" s="20"/>
      <c r="I4" s="6" t="s">
        <v>38</v>
      </c>
      <c r="J4" s="6"/>
      <c r="K4" s="343" t="s">
        <v>39</v>
      </c>
      <c r="L4" s="7"/>
      <c r="M4" s="8"/>
      <c r="N4" s="8" t="s">
        <v>40</v>
      </c>
      <c r="O4" s="8"/>
      <c r="P4" s="8"/>
      <c r="Q4" s="8" t="s">
        <v>40</v>
      </c>
      <c r="R4" s="8"/>
      <c r="S4" s="6"/>
      <c r="U4" s="8"/>
      <c r="V4" s="265">
        <v>45573</v>
      </c>
      <c r="W4" s="23" t="s">
        <v>41</v>
      </c>
      <c r="X4" s="6" t="s">
        <v>42</v>
      </c>
      <c r="Y4" s="8"/>
      <c r="Z4" s="8"/>
      <c r="AA4" s="241" t="s">
        <v>43</v>
      </c>
      <c r="AB4" s="7"/>
      <c r="AC4" s="7"/>
      <c r="AD4" s="7"/>
      <c r="AE4" s="7"/>
      <c r="AF4" s="7"/>
      <c r="AG4" s="7"/>
      <c r="AH4" s="7"/>
      <c r="AI4" s="7"/>
      <c r="AJ4" s="7"/>
    </row>
    <row r="5" customHeight="1" spans="1:36">
      <c r="A5" s="8" t="s">
        <v>44</v>
      </c>
      <c r="B5" s="6" t="s">
        <v>34</v>
      </c>
      <c r="C5" s="6" t="s">
        <v>35</v>
      </c>
      <c r="D5" s="6" t="s">
        <v>28</v>
      </c>
      <c r="E5" s="8" t="s">
        <v>29</v>
      </c>
      <c r="F5" s="10" t="s">
        <v>37</v>
      </c>
      <c r="G5" s="10"/>
      <c r="H5" s="10">
        <v>5</v>
      </c>
      <c r="I5" s="6" t="s">
        <v>45</v>
      </c>
      <c r="J5" s="6"/>
      <c r="K5" s="2" t="s">
        <v>46</v>
      </c>
      <c r="L5" s="7"/>
      <c r="M5" s="8"/>
      <c r="N5" s="8"/>
      <c r="O5" s="8"/>
      <c r="P5" s="8"/>
      <c r="Q5" s="8"/>
      <c r="R5" s="242" t="s">
        <v>47</v>
      </c>
      <c r="S5" s="6"/>
      <c r="T5" s="8" t="s">
        <v>48</v>
      </c>
      <c r="U5" s="6" t="s">
        <v>49</v>
      </c>
      <c r="V5" s="19"/>
      <c r="W5" s="23" t="s">
        <v>41</v>
      </c>
      <c r="X5" s="6" t="s">
        <v>42</v>
      </c>
      <c r="Y5" s="281">
        <v>45311</v>
      </c>
      <c r="Z5" s="8"/>
      <c r="AA5" s="241" t="s">
        <v>50</v>
      </c>
      <c r="AB5" s="7"/>
      <c r="AC5" s="7"/>
      <c r="AD5" s="7"/>
      <c r="AE5" s="7"/>
      <c r="AF5" s="7"/>
      <c r="AG5" s="7"/>
      <c r="AH5" s="7"/>
      <c r="AI5" s="7"/>
      <c r="AJ5" s="7"/>
    </row>
    <row r="6" customHeight="1" spans="1:36">
      <c r="A6" s="8" t="s">
        <v>51</v>
      </c>
      <c r="B6" s="6" t="s">
        <v>34</v>
      </c>
      <c r="C6" s="6"/>
      <c r="D6" s="6" t="s">
        <v>28</v>
      </c>
      <c r="E6" s="8"/>
      <c r="F6" s="10" t="s">
        <v>37</v>
      </c>
      <c r="G6" s="10"/>
      <c r="H6" s="10"/>
      <c r="I6" s="6"/>
      <c r="J6" s="6"/>
      <c r="K6" s="2" t="s">
        <v>52</v>
      </c>
      <c r="L6" s="7"/>
      <c r="M6" s="8"/>
      <c r="N6" s="8"/>
      <c r="O6" s="8"/>
      <c r="P6" s="8"/>
      <c r="Q6" s="8"/>
      <c r="R6" s="8"/>
      <c r="S6" s="6"/>
      <c r="T6" s="6"/>
      <c r="U6" s="8"/>
      <c r="V6" s="19"/>
      <c r="W6" s="23"/>
      <c r="X6" s="12"/>
      <c r="Y6" s="28"/>
      <c r="Z6" s="8"/>
      <c r="AA6" s="241"/>
      <c r="AB6" s="7"/>
      <c r="AC6" s="7"/>
      <c r="AD6" s="7"/>
      <c r="AE6" s="7"/>
      <c r="AF6" s="7"/>
      <c r="AG6" s="7"/>
      <c r="AH6" s="7"/>
      <c r="AI6" s="7"/>
      <c r="AJ6" s="7"/>
    </row>
    <row r="7" customHeight="1" spans="1:36">
      <c r="A7" s="8" t="s">
        <v>53</v>
      </c>
      <c r="B7" s="6" t="s">
        <v>34</v>
      </c>
      <c r="C7" s="6" t="s">
        <v>35</v>
      </c>
      <c r="D7" s="6" t="s">
        <v>28</v>
      </c>
      <c r="E7" s="8" t="s">
        <v>54</v>
      </c>
      <c r="F7" s="10" t="s">
        <v>37</v>
      </c>
      <c r="G7" s="10"/>
      <c r="H7" s="10">
        <v>4</v>
      </c>
      <c r="I7" s="6" t="s">
        <v>55</v>
      </c>
      <c r="J7" s="6"/>
      <c r="K7" s="2" t="s">
        <v>56</v>
      </c>
      <c r="L7" s="7"/>
      <c r="M7" s="8"/>
      <c r="N7" s="8"/>
      <c r="O7" s="8"/>
      <c r="P7" s="8"/>
      <c r="Q7" s="8"/>
      <c r="R7" s="8"/>
      <c r="S7" s="6"/>
      <c r="T7" s="6" t="s">
        <v>57</v>
      </c>
      <c r="U7" s="8"/>
      <c r="V7" s="19"/>
      <c r="W7" s="23" t="s">
        <v>41</v>
      </c>
      <c r="X7" s="6" t="s">
        <v>42</v>
      </c>
      <c r="Y7" s="28"/>
      <c r="Z7" s="8"/>
      <c r="AA7" s="241" t="s">
        <v>58</v>
      </c>
      <c r="AB7" s="7"/>
      <c r="AC7" s="7"/>
      <c r="AD7" s="7"/>
      <c r="AE7" s="7"/>
      <c r="AF7" s="7"/>
      <c r="AG7" s="7"/>
      <c r="AH7" s="7"/>
      <c r="AI7" s="7"/>
      <c r="AJ7" s="7"/>
    </row>
    <row r="8" customHeight="1" spans="1:36">
      <c r="A8" s="206" t="s">
        <v>59</v>
      </c>
      <c r="B8" s="207" t="s">
        <v>60</v>
      </c>
      <c r="C8" s="207" t="s">
        <v>61</v>
      </c>
      <c r="D8" s="207" t="s">
        <v>28</v>
      </c>
      <c r="E8" s="206" t="s">
        <v>54</v>
      </c>
      <c r="F8" s="208"/>
      <c r="G8" s="208" t="s">
        <v>62</v>
      </c>
      <c r="H8" s="208"/>
      <c r="I8" s="206"/>
      <c r="J8" s="206"/>
      <c r="K8" s="239"/>
      <c r="L8" s="240"/>
      <c r="M8" s="206"/>
      <c r="N8" s="206"/>
      <c r="O8" s="206"/>
      <c r="P8" s="206"/>
      <c r="Q8" s="206"/>
      <c r="R8" s="206"/>
      <c r="S8" s="207" t="s">
        <v>63</v>
      </c>
      <c r="T8" s="207"/>
      <c r="U8" s="207"/>
      <c r="V8" s="237"/>
      <c r="W8" s="208"/>
      <c r="X8" s="207"/>
      <c r="Y8" s="206"/>
      <c r="Z8" s="206"/>
      <c r="AA8" s="239"/>
      <c r="AB8" s="240"/>
      <c r="AC8" s="240"/>
      <c r="AD8" s="240"/>
      <c r="AE8" s="240"/>
      <c r="AF8" s="240"/>
      <c r="AG8" s="240"/>
      <c r="AH8" s="240"/>
      <c r="AI8" s="240"/>
      <c r="AJ8" s="240"/>
    </row>
    <row r="9" customHeight="1" spans="1:36">
      <c r="A9" s="206" t="s">
        <v>64</v>
      </c>
      <c r="B9" s="207" t="s">
        <v>60</v>
      </c>
      <c r="C9" s="207" t="s">
        <v>61</v>
      </c>
      <c r="D9" s="207" t="s">
        <v>28</v>
      </c>
      <c r="E9" s="206" t="s">
        <v>54</v>
      </c>
      <c r="F9" s="208"/>
      <c r="G9" s="208" t="s">
        <v>65</v>
      </c>
      <c r="H9" s="208"/>
      <c r="I9" s="206" t="s">
        <v>66</v>
      </c>
      <c r="J9" s="206"/>
      <c r="K9" s="239" t="s">
        <v>67</v>
      </c>
      <c r="L9" s="240"/>
      <c r="M9" s="206"/>
      <c r="N9" s="206"/>
      <c r="O9" s="239" t="s">
        <v>67</v>
      </c>
      <c r="P9" s="206"/>
      <c r="Q9" s="206"/>
      <c r="R9" s="206"/>
      <c r="S9" s="207" t="s">
        <v>68</v>
      </c>
      <c r="T9" s="207"/>
      <c r="U9" s="207"/>
      <c r="V9" s="237"/>
      <c r="W9" s="208"/>
      <c r="X9" s="207"/>
      <c r="Y9" s="206"/>
      <c r="Z9" s="206"/>
      <c r="AA9" s="239"/>
      <c r="AB9" s="240"/>
      <c r="AC9" s="240"/>
      <c r="AD9" s="240"/>
      <c r="AE9" s="240"/>
      <c r="AF9" s="240"/>
      <c r="AG9" s="240"/>
      <c r="AH9" s="240"/>
      <c r="AI9" s="240"/>
      <c r="AJ9" s="240"/>
    </row>
    <row r="10" customHeight="1" spans="1:36">
      <c r="A10" s="206" t="s">
        <v>69</v>
      </c>
      <c r="B10" s="207"/>
      <c r="C10" s="207"/>
      <c r="D10" s="207"/>
      <c r="E10" s="206"/>
      <c r="F10" s="208"/>
      <c r="G10" s="208"/>
      <c r="H10" s="208"/>
      <c r="I10" s="206"/>
      <c r="J10" s="206"/>
      <c r="K10" s="239"/>
      <c r="L10" s="240"/>
      <c r="M10" s="206"/>
      <c r="N10" s="206"/>
      <c r="O10" s="206"/>
      <c r="P10" s="206"/>
      <c r="Q10" s="206"/>
      <c r="R10" s="206"/>
      <c r="S10" s="207" t="s">
        <v>70</v>
      </c>
      <c r="T10" s="207"/>
      <c r="U10" s="207"/>
      <c r="V10" s="237"/>
      <c r="W10" s="208"/>
      <c r="X10" s="207"/>
      <c r="Y10" s="206"/>
      <c r="Z10" s="206"/>
      <c r="AA10" s="239"/>
      <c r="AB10" s="240"/>
      <c r="AC10" s="240"/>
      <c r="AD10" s="240"/>
      <c r="AE10" s="240"/>
      <c r="AF10" s="240"/>
      <c r="AG10" s="240"/>
      <c r="AH10" s="240"/>
      <c r="AI10" s="240"/>
      <c r="AJ10" s="240"/>
    </row>
    <row r="11" customHeight="1" spans="1:36">
      <c r="A11" s="206" t="s">
        <v>71</v>
      </c>
      <c r="B11" s="207"/>
      <c r="C11" s="207"/>
      <c r="D11" s="207"/>
      <c r="E11" s="206"/>
      <c r="F11" s="208"/>
      <c r="G11" s="208"/>
      <c r="H11" s="208"/>
      <c r="I11" s="206"/>
      <c r="J11" s="206"/>
      <c r="K11" s="239"/>
      <c r="L11" s="240"/>
      <c r="M11" s="206"/>
      <c r="N11" s="206"/>
      <c r="O11" s="206"/>
      <c r="P11" s="206"/>
      <c r="Q11" s="206"/>
      <c r="R11" s="206"/>
      <c r="S11" s="207" t="s">
        <v>63</v>
      </c>
      <c r="T11" s="207"/>
      <c r="U11" s="207"/>
      <c r="V11" s="237"/>
      <c r="W11" s="208"/>
      <c r="X11" s="207"/>
      <c r="Y11" s="206"/>
      <c r="Z11" s="206"/>
      <c r="AA11" s="239"/>
      <c r="AB11" s="240"/>
      <c r="AC11" s="240"/>
      <c r="AD11" s="240"/>
      <c r="AE11" s="240"/>
      <c r="AF11" s="240"/>
      <c r="AG11" s="240"/>
      <c r="AH11" s="240"/>
      <c r="AI11" s="240"/>
      <c r="AJ11" s="240"/>
    </row>
    <row r="12" customHeight="1" spans="1:36">
      <c r="A12" s="206" t="s">
        <v>72</v>
      </c>
      <c r="B12" s="207" t="s">
        <v>60</v>
      </c>
      <c r="C12" s="207" t="s">
        <v>61</v>
      </c>
      <c r="D12" s="207" t="s">
        <v>28</v>
      </c>
      <c r="E12" s="206" t="s">
        <v>54</v>
      </c>
      <c r="F12" s="208"/>
      <c r="G12" s="208" t="s">
        <v>73</v>
      </c>
      <c r="H12" s="208"/>
      <c r="I12" s="206"/>
      <c r="J12" s="206"/>
      <c r="K12" s="239"/>
      <c r="L12" s="240"/>
      <c r="M12" s="206"/>
      <c r="N12" s="206"/>
      <c r="O12" s="206"/>
      <c r="P12" s="206"/>
      <c r="Q12" s="206"/>
      <c r="R12" s="206"/>
      <c r="S12" s="207" t="s">
        <v>70</v>
      </c>
      <c r="T12" s="207"/>
      <c r="U12" s="207"/>
      <c r="V12" s="237"/>
      <c r="W12" s="208"/>
      <c r="X12" s="207"/>
      <c r="Y12" s="206"/>
      <c r="Z12" s="206"/>
      <c r="AA12" s="239"/>
      <c r="AB12" s="240"/>
      <c r="AC12" s="240"/>
      <c r="AD12" s="240"/>
      <c r="AE12" s="240"/>
      <c r="AF12" s="240"/>
      <c r="AG12" s="240"/>
      <c r="AH12" s="240"/>
      <c r="AI12" s="240"/>
      <c r="AJ12" s="240"/>
    </row>
    <row r="13" customHeight="1" spans="1:36">
      <c r="A13" s="206" t="s">
        <v>74</v>
      </c>
      <c r="B13" s="207" t="s">
        <v>60</v>
      </c>
      <c r="C13" s="207" t="s">
        <v>61</v>
      </c>
      <c r="D13" s="207" t="s">
        <v>28</v>
      </c>
      <c r="E13" s="206" t="s">
        <v>54</v>
      </c>
      <c r="F13" s="208"/>
      <c r="G13" s="208" t="s">
        <v>65</v>
      </c>
      <c r="H13" s="208"/>
      <c r="I13" s="206" t="s">
        <v>75</v>
      </c>
      <c r="J13" s="206"/>
      <c r="K13" s="239" t="s">
        <v>76</v>
      </c>
      <c r="L13" s="240"/>
      <c r="M13" s="206"/>
      <c r="N13" s="206"/>
      <c r="O13" s="206"/>
      <c r="P13" s="206"/>
      <c r="Q13" s="206"/>
      <c r="R13" s="206"/>
      <c r="S13" s="207" t="s">
        <v>77</v>
      </c>
      <c r="T13" s="207"/>
      <c r="U13" s="207"/>
      <c r="V13" s="237"/>
      <c r="W13" s="208"/>
      <c r="X13" s="207"/>
      <c r="Y13" s="206"/>
      <c r="Z13" s="206"/>
      <c r="AA13" s="239"/>
      <c r="AB13" s="240"/>
      <c r="AC13" s="240"/>
      <c r="AD13" s="240"/>
      <c r="AE13" s="240"/>
      <c r="AF13" s="240"/>
      <c r="AG13" s="240"/>
      <c r="AH13" s="240"/>
      <c r="AI13" s="240"/>
      <c r="AJ13" s="240"/>
    </row>
    <row r="14" customHeight="1" spans="1:36">
      <c r="A14" s="206" t="s">
        <v>78</v>
      </c>
      <c r="B14" s="207" t="s">
        <v>60</v>
      </c>
      <c r="C14" s="207" t="s">
        <v>61</v>
      </c>
      <c r="D14" s="207" t="s">
        <v>28</v>
      </c>
      <c r="E14" s="206" t="s">
        <v>54</v>
      </c>
      <c r="F14" s="208"/>
      <c r="G14" s="208" t="s">
        <v>73</v>
      </c>
      <c r="H14" s="208"/>
      <c r="I14" s="206" t="s">
        <v>79</v>
      </c>
      <c r="J14" s="206"/>
      <c r="K14" s="239" t="s">
        <v>80</v>
      </c>
      <c r="L14" s="240"/>
      <c r="M14" s="206"/>
      <c r="N14" s="206"/>
      <c r="O14" s="206"/>
      <c r="P14" s="206"/>
      <c r="Q14" s="206"/>
      <c r="R14" s="206"/>
      <c r="S14" s="207"/>
      <c r="T14" s="207"/>
      <c r="U14" s="207"/>
      <c r="V14" s="237"/>
      <c r="W14" s="208"/>
      <c r="X14" s="207"/>
      <c r="Y14" s="206"/>
      <c r="Z14" s="206"/>
      <c r="AA14" s="239"/>
      <c r="AB14" s="240"/>
      <c r="AC14" s="240"/>
      <c r="AD14" s="240"/>
      <c r="AE14" s="240"/>
      <c r="AF14" s="240"/>
      <c r="AG14" s="240"/>
      <c r="AH14" s="240"/>
      <c r="AI14" s="240"/>
      <c r="AJ14" s="240"/>
    </row>
    <row r="15" customHeight="1" spans="1:36">
      <c r="A15" s="206" t="s">
        <v>81</v>
      </c>
      <c r="B15" s="207"/>
      <c r="C15" s="207"/>
      <c r="D15" s="207"/>
      <c r="E15" s="206"/>
      <c r="F15" s="208"/>
      <c r="G15" s="208"/>
      <c r="H15" s="208"/>
      <c r="I15" s="206"/>
      <c r="J15" s="206"/>
      <c r="K15" s="239"/>
      <c r="L15" s="240"/>
      <c r="M15" s="206"/>
      <c r="N15" s="206"/>
      <c r="O15" s="206"/>
      <c r="P15" s="206"/>
      <c r="Q15" s="206"/>
      <c r="R15" s="206"/>
      <c r="S15" s="207"/>
      <c r="T15" s="207"/>
      <c r="U15" s="207"/>
      <c r="V15" s="237"/>
      <c r="W15" s="208"/>
      <c r="X15" s="207"/>
      <c r="Y15" s="206"/>
      <c r="Z15" s="206"/>
      <c r="AA15" s="239"/>
      <c r="AB15" s="240"/>
      <c r="AC15" s="240"/>
      <c r="AD15" s="240"/>
      <c r="AE15" s="240"/>
      <c r="AF15" s="240"/>
      <c r="AG15" s="240"/>
      <c r="AH15" s="240"/>
      <c r="AI15" s="240"/>
      <c r="AJ15" s="240"/>
    </row>
    <row r="16" customHeight="1" spans="1:36">
      <c r="A16" s="206" t="s">
        <v>82</v>
      </c>
      <c r="B16" s="207" t="s">
        <v>60</v>
      </c>
      <c r="C16" s="207" t="s">
        <v>61</v>
      </c>
      <c r="D16" s="207" t="s">
        <v>28</v>
      </c>
      <c r="E16" s="206" t="s">
        <v>54</v>
      </c>
      <c r="F16" s="208"/>
      <c r="G16" s="208" t="s">
        <v>83</v>
      </c>
      <c r="H16" s="208"/>
      <c r="I16" s="206" t="s">
        <v>84</v>
      </c>
      <c r="J16" s="206"/>
      <c r="K16" s="344" t="s">
        <v>85</v>
      </c>
      <c r="L16" s="240"/>
      <c r="M16" s="206"/>
      <c r="N16" s="206"/>
      <c r="O16" s="206"/>
      <c r="P16" s="206"/>
      <c r="Q16" s="206"/>
      <c r="R16" s="206"/>
      <c r="S16" s="207" t="s">
        <v>86</v>
      </c>
      <c r="T16" s="207"/>
      <c r="U16" s="207"/>
      <c r="V16" s="237"/>
      <c r="W16" s="208"/>
      <c r="X16" s="207"/>
      <c r="Y16" s="206"/>
      <c r="Z16" s="206"/>
      <c r="AA16" s="239"/>
      <c r="AB16" s="240"/>
      <c r="AC16" s="240"/>
      <c r="AD16" s="240"/>
      <c r="AE16" s="240"/>
      <c r="AF16" s="240"/>
      <c r="AG16" s="240"/>
      <c r="AH16" s="240"/>
      <c r="AI16" s="240"/>
      <c r="AJ16" s="240"/>
    </row>
    <row r="17" customHeight="1" spans="1:36">
      <c r="A17" s="206" t="s">
        <v>87</v>
      </c>
      <c r="B17" s="207" t="s">
        <v>60</v>
      </c>
      <c r="C17" s="207" t="s">
        <v>61</v>
      </c>
      <c r="D17" s="207" t="s">
        <v>28</v>
      </c>
      <c r="E17" s="206" t="s">
        <v>88</v>
      </c>
      <c r="F17" s="208"/>
      <c r="G17" s="208" t="s">
        <v>73</v>
      </c>
      <c r="H17" s="208"/>
      <c r="I17" s="206"/>
      <c r="J17" s="206"/>
      <c r="K17" s="239"/>
      <c r="L17" s="240"/>
      <c r="M17" s="206"/>
      <c r="N17" s="206"/>
      <c r="O17" s="206"/>
      <c r="P17" s="206"/>
      <c r="Q17" s="206"/>
      <c r="R17" s="206"/>
      <c r="S17" s="207" t="s">
        <v>89</v>
      </c>
      <c r="T17" s="207"/>
      <c r="U17" s="207"/>
      <c r="V17" s="237"/>
      <c r="W17" s="208"/>
      <c r="X17" s="207"/>
      <c r="Y17" s="206"/>
      <c r="Z17" s="206"/>
      <c r="AA17" s="239"/>
      <c r="AB17" s="240"/>
      <c r="AC17" s="240"/>
      <c r="AD17" s="240"/>
      <c r="AE17" s="240"/>
      <c r="AF17" s="240"/>
      <c r="AG17" s="240"/>
      <c r="AH17" s="240"/>
      <c r="AI17" s="240"/>
      <c r="AJ17" s="240"/>
    </row>
    <row r="18" customHeight="1" spans="1:36">
      <c r="A18" s="206" t="s">
        <v>90</v>
      </c>
      <c r="B18" s="207" t="s">
        <v>60</v>
      </c>
      <c r="C18" s="207" t="s">
        <v>61</v>
      </c>
      <c r="D18" s="207" t="s">
        <v>28</v>
      </c>
      <c r="E18" s="206" t="s">
        <v>54</v>
      </c>
      <c r="F18" s="208"/>
      <c r="G18" s="208" t="s">
        <v>73</v>
      </c>
      <c r="H18" s="208"/>
      <c r="I18" s="206" t="s">
        <v>91</v>
      </c>
      <c r="J18" s="206"/>
      <c r="K18" s="239" t="s">
        <v>92</v>
      </c>
      <c r="L18" s="240"/>
      <c r="M18" s="206"/>
      <c r="N18" s="206"/>
      <c r="O18" s="206"/>
      <c r="P18" s="206"/>
      <c r="Q18" s="206"/>
      <c r="R18" s="206"/>
      <c r="S18" s="207" t="s">
        <v>93</v>
      </c>
      <c r="T18" s="207"/>
      <c r="U18" s="207"/>
      <c r="V18" s="237"/>
      <c r="W18" s="208"/>
      <c r="X18" s="207"/>
      <c r="Y18" s="206"/>
      <c r="Z18" s="206"/>
      <c r="AA18" s="239"/>
      <c r="AB18" s="240"/>
      <c r="AC18" s="240"/>
      <c r="AD18" s="240"/>
      <c r="AE18" s="240"/>
      <c r="AF18" s="240"/>
      <c r="AG18" s="240"/>
      <c r="AH18" s="240"/>
      <c r="AI18" s="240"/>
      <c r="AJ18" s="240"/>
    </row>
    <row r="19" customHeight="1" spans="1:36">
      <c r="A19" s="206" t="s">
        <v>94</v>
      </c>
      <c r="B19" s="207" t="s">
        <v>60</v>
      </c>
      <c r="C19" s="207" t="s">
        <v>61</v>
      </c>
      <c r="D19" s="207" t="s">
        <v>28</v>
      </c>
      <c r="E19" s="206" t="s">
        <v>54</v>
      </c>
      <c r="F19" s="208"/>
      <c r="G19" s="208" t="s">
        <v>73</v>
      </c>
      <c r="H19" s="208"/>
      <c r="I19" s="206" t="s">
        <v>95</v>
      </c>
      <c r="J19" s="206"/>
      <c r="K19" s="239" t="s">
        <v>96</v>
      </c>
      <c r="L19" s="240"/>
      <c r="M19" s="206"/>
      <c r="N19" s="206"/>
      <c r="O19" s="206"/>
      <c r="P19" s="206"/>
      <c r="Q19" s="206"/>
      <c r="R19" s="206"/>
      <c r="S19" s="207"/>
      <c r="T19" s="207"/>
      <c r="U19" s="207"/>
      <c r="V19" s="237"/>
      <c r="W19" s="208"/>
      <c r="X19" s="207"/>
      <c r="Y19" s="206"/>
      <c r="Z19" s="206"/>
      <c r="AA19" s="239"/>
      <c r="AB19" s="240"/>
      <c r="AC19" s="240"/>
      <c r="AD19" s="240"/>
      <c r="AE19" s="240"/>
      <c r="AF19" s="240"/>
      <c r="AG19" s="240"/>
      <c r="AH19" s="240"/>
      <c r="AI19" s="240"/>
      <c r="AJ19" s="240"/>
    </row>
    <row r="20" customHeight="1" spans="1:36">
      <c r="A20" s="8" t="s">
        <v>97</v>
      </c>
      <c r="B20" s="6" t="s">
        <v>34</v>
      </c>
      <c r="C20" s="6" t="s">
        <v>35</v>
      </c>
      <c r="D20" s="6" t="s">
        <v>98</v>
      </c>
      <c r="E20" s="8" t="s">
        <v>36</v>
      </c>
      <c r="F20" s="10" t="s">
        <v>37</v>
      </c>
      <c r="G20" s="10"/>
      <c r="H20" s="10">
        <v>1</v>
      </c>
      <c r="I20" s="8" t="s">
        <v>99</v>
      </c>
      <c r="J20" s="8"/>
      <c r="K20" s="241" t="s">
        <v>100</v>
      </c>
      <c r="L20" s="7"/>
      <c r="M20" s="8"/>
      <c r="N20" s="241" t="s">
        <v>100</v>
      </c>
      <c r="O20" s="8"/>
      <c r="P20" s="242" t="s">
        <v>101</v>
      </c>
      <c r="Q20" s="8"/>
      <c r="R20" s="8"/>
      <c r="S20" s="6"/>
      <c r="T20" s="6"/>
      <c r="U20" s="6" t="s">
        <v>102</v>
      </c>
      <c r="V20" s="19"/>
      <c r="W20" s="236" t="s">
        <v>103</v>
      </c>
      <c r="X20" s="6" t="s">
        <v>104</v>
      </c>
      <c r="Y20" s="8"/>
      <c r="Z20" s="8"/>
      <c r="AA20" s="241" t="s">
        <v>105</v>
      </c>
      <c r="AB20" s="7"/>
      <c r="AC20" s="7"/>
      <c r="AD20" s="7"/>
      <c r="AE20" s="7"/>
      <c r="AF20" s="7"/>
      <c r="AG20" s="7"/>
      <c r="AH20" s="7"/>
      <c r="AI20" s="7"/>
      <c r="AJ20" s="7"/>
    </row>
    <row r="21" customHeight="1" spans="1:36">
      <c r="A21" s="8" t="s">
        <v>106</v>
      </c>
      <c r="B21" s="6" t="s">
        <v>34</v>
      </c>
      <c r="C21" s="6" t="s">
        <v>35</v>
      </c>
      <c r="D21" s="6" t="s">
        <v>28</v>
      </c>
      <c r="E21" s="8" t="s">
        <v>36</v>
      </c>
      <c r="F21" s="10" t="s">
        <v>37</v>
      </c>
      <c r="G21" s="10"/>
      <c r="H21" s="10">
        <v>2</v>
      </c>
      <c r="I21" s="8" t="s">
        <v>107</v>
      </c>
      <c r="J21" s="8"/>
      <c r="K21" s="6" t="s">
        <v>108</v>
      </c>
      <c r="L21" s="7"/>
      <c r="M21" s="8"/>
      <c r="N21" s="8"/>
      <c r="O21" s="8"/>
      <c r="P21" s="8"/>
      <c r="Q21" s="8"/>
      <c r="R21" s="8"/>
      <c r="S21" s="266" t="s">
        <v>109</v>
      </c>
      <c r="T21" s="6" t="s">
        <v>110</v>
      </c>
      <c r="U21" s="6" t="s">
        <v>111</v>
      </c>
      <c r="V21" s="19"/>
      <c r="W21" s="236" t="s">
        <v>112</v>
      </c>
      <c r="X21" s="6" t="s">
        <v>42</v>
      </c>
      <c r="Y21" s="281">
        <v>45311</v>
      </c>
      <c r="Z21" s="8"/>
      <c r="AA21" s="241" t="s">
        <v>113</v>
      </c>
      <c r="AB21" s="7"/>
      <c r="AC21" s="7"/>
      <c r="AD21" s="7"/>
      <c r="AE21" s="7"/>
      <c r="AF21" s="7"/>
      <c r="AG21" s="7"/>
      <c r="AH21" s="7"/>
      <c r="AI21" s="7"/>
      <c r="AJ21" s="7"/>
    </row>
    <row r="22" customHeight="1" spans="1:36">
      <c r="A22" s="5" t="s">
        <v>114</v>
      </c>
      <c r="B22" s="6" t="s">
        <v>34</v>
      </c>
      <c r="C22" s="5" t="s">
        <v>61</v>
      </c>
      <c r="D22" s="7" t="s">
        <v>28</v>
      </c>
      <c r="E22" s="8" t="s">
        <v>115</v>
      </c>
      <c r="F22" s="10" t="s">
        <v>37</v>
      </c>
      <c r="G22" s="5" t="s">
        <v>116</v>
      </c>
      <c r="H22" s="5">
        <v>2</v>
      </c>
      <c r="I22" s="8" t="s">
        <v>117</v>
      </c>
      <c r="J22" s="8"/>
      <c r="K22" s="8" t="s">
        <v>118</v>
      </c>
      <c r="L22" s="7"/>
      <c r="M22" s="8"/>
      <c r="N22" s="8"/>
      <c r="O22" s="8"/>
      <c r="P22" s="8"/>
      <c r="Q22" s="8"/>
      <c r="R22" s="8"/>
      <c r="S22" s="7"/>
      <c r="T22" s="8" t="s">
        <v>119</v>
      </c>
      <c r="U22" s="8"/>
      <c r="V22" s="19"/>
      <c r="W22" s="19"/>
      <c r="X22" s="8" t="s">
        <v>120</v>
      </c>
      <c r="Y22" s="7"/>
      <c r="Z22" s="7"/>
      <c r="AA22" s="280"/>
      <c r="AB22" s="7"/>
      <c r="AC22" s="7"/>
      <c r="AD22" s="7"/>
      <c r="AE22" s="7"/>
      <c r="AF22" s="7"/>
      <c r="AG22" s="7"/>
      <c r="AH22" s="7"/>
      <c r="AI22" s="7"/>
      <c r="AJ22" s="7"/>
    </row>
    <row r="23" customHeight="1" spans="1:36">
      <c r="A23" s="209" t="s">
        <v>121</v>
      </c>
      <c r="B23" s="210" t="s">
        <v>34</v>
      </c>
      <c r="C23" s="210" t="s">
        <v>35</v>
      </c>
      <c r="D23" s="210" t="s">
        <v>28</v>
      </c>
      <c r="E23" s="211" t="s">
        <v>122</v>
      </c>
      <c r="F23" s="212" t="s">
        <v>37</v>
      </c>
      <c r="G23" s="212" t="s">
        <v>123</v>
      </c>
      <c r="H23" s="212"/>
      <c r="I23" s="210" t="s">
        <v>124</v>
      </c>
      <c r="J23" s="210"/>
      <c r="K23" s="210" t="s">
        <v>125</v>
      </c>
      <c r="L23" s="243"/>
      <c r="M23" s="244" t="s">
        <v>126</v>
      </c>
      <c r="N23" s="211" t="s">
        <v>127</v>
      </c>
      <c r="O23" s="244" t="s">
        <v>127</v>
      </c>
      <c r="P23" s="244" t="s">
        <v>128</v>
      </c>
      <c r="Q23" s="244"/>
      <c r="R23" s="244"/>
      <c r="S23" s="210"/>
      <c r="T23" s="210"/>
      <c r="U23" s="210"/>
      <c r="V23" s="267"/>
      <c r="W23" s="267"/>
      <c r="X23" s="210"/>
      <c r="Y23" s="267"/>
      <c r="Z23" s="210"/>
      <c r="AA23" s="282"/>
      <c r="AB23" s="243"/>
      <c r="AC23" s="243"/>
      <c r="AD23" s="243"/>
      <c r="AE23" s="243"/>
      <c r="AF23" s="243"/>
      <c r="AG23" s="243"/>
      <c r="AH23" s="243"/>
      <c r="AI23" s="243"/>
      <c r="AJ23" s="243"/>
    </row>
    <row r="24" customHeight="1" spans="1:36">
      <c r="A24" s="3" t="s">
        <v>129</v>
      </c>
      <c r="B24" s="6" t="s">
        <v>34</v>
      </c>
      <c r="C24" s="6" t="s">
        <v>35</v>
      </c>
      <c r="D24" s="6" t="s">
        <v>28</v>
      </c>
      <c r="E24" s="8" t="s">
        <v>130</v>
      </c>
      <c r="F24" s="10" t="s">
        <v>131</v>
      </c>
      <c r="G24" s="10"/>
      <c r="H24" s="10">
        <v>1</v>
      </c>
      <c r="I24" s="6" t="s">
        <v>132</v>
      </c>
      <c r="J24" s="6"/>
      <c r="K24" s="6" t="s">
        <v>133</v>
      </c>
      <c r="L24" s="7"/>
      <c r="M24" s="245" t="s">
        <v>134</v>
      </c>
      <c r="N24" s="8" t="s">
        <v>135</v>
      </c>
      <c r="O24" s="245"/>
      <c r="P24" s="245" t="s">
        <v>136</v>
      </c>
      <c r="Q24" s="245" t="s">
        <v>137</v>
      </c>
      <c r="R24" s="245" t="s">
        <v>138</v>
      </c>
      <c r="S24" s="6" t="s">
        <v>139</v>
      </c>
      <c r="T24" s="6"/>
      <c r="U24" s="6" t="s">
        <v>140</v>
      </c>
      <c r="V24" s="19"/>
      <c r="W24" s="19"/>
      <c r="X24" s="6" t="s">
        <v>42</v>
      </c>
      <c r="Y24" s="20">
        <v>45310</v>
      </c>
      <c r="Z24" s="6" t="s">
        <v>141</v>
      </c>
      <c r="AA24" s="241" t="s">
        <v>142</v>
      </c>
      <c r="AB24" s="7"/>
      <c r="AC24" s="7"/>
      <c r="AD24" s="7"/>
      <c r="AE24" s="7"/>
      <c r="AF24" s="7"/>
      <c r="AG24" s="7"/>
      <c r="AH24" s="7"/>
      <c r="AI24" s="7"/>
      <c r="AJ24" s="7"/>
    </row>
    <row r="25" customHeight="1" spans="1:36">
      <c r="A25" s="8" t="s">
        <v>143</v>
      </c>
      <c r="B25" s="6" t="s">
        <v>34</v>
      </c>
      <c r="C25" s="5" t="s">
        <v>35</v>
      </c>
      <c r="D25" s="7" t="s">
        <v>28</v>
      </c>
      <c r="E25" s="8" t="s">
        <v>122</v>
      </c>
      <c r="F25" s="10" t="s">
        <v>37</v>
      </c>
      <c r="G25" s="20"/>
      <c r="H25" s="20"/>
      <c r="I25" s="7"/>
      <c r="J25" s="7"/>
      <c r="K25" s="5" t="s">
        <v>144</v>
      </c>
      <c r="L25" s="7"/>
      <c r="M25" s="7"/>
      <c r="N25" s="7"/>
      <c r="O25" s="7"/>
      <c r="P25" s="7"/>
      <c r="Q25" s="7"/>
      <c r="R25" s="7"/>
      <c r="S25" s="7"/>
      <c r="T25" s="7"/>
      <c r="U25" s="7"/>
      <c r="V25" s="19"/>
      <c r="W25" s="19"/>
      <c r="X25" s="8" t="s">
        <v>145</v>
      </c>
      <c r="Y25" s="7"/>
      <c r="Z25" s="7"/>
      <c r="AA25" s="280"/>
      <c r="AB25" s="7"/>
      <c r="AC25" s="7"/>
      <c r="AD25" s="7"/>
      <c r="AE25" s="7"/>
      <c r="AF25" s="7"/>
      <c r="AG25" s="7"/>
      <c r="AH25" s="7"/>
      <c r="AI25" s="7"/>
      <c r="AJ25" s="7"/>
    </row>
    <row r="26" customHeight="1" spans="1:36">
      <c r="A26" s="8" t="s">
        <v>146</v>
      </c>
      <c r="B26" s="6" t="s">
        <v>147</v>
      </c>
      <c r="C26" s="6" t="s">
        <v>61</v>
      </c>
      <c r="D26" s="6"/>
      <c r="E26" s="8"/>
      <c r="F26" s="10" t="s">
        <v>37</v>
      </c>
      <c r="G26" s="20"/>
      <c r="H26" s="20"/>
      <c r="I26" s="2"/>
      <c r="J26" s="2"/>
      <c r="K26" s="6"/>
      <c r="L26" s="7"/>
      <c r="M26" s="8"/>
      <c r="N26" s="8"/>
      <c r="O26" s="8"/>
      <c r="P26" s="242" t="s">
        <v>148</v>
      </c>
      <c r="Q26" s="242" t="s">
        <v>148</v>
      </c>
      <c r="R26" s="8"/>
      <c r="S26" s="6"/>
      <c r="T26" s="2"/>
      <c r="U26" s="6"/>
      <c r="V26" s="19"/>
      <c r="W26" s="19"/>
      <c r="X26" s="12"/>
      <c r="Y26" s="20"/>
      <c r="Z26" s="8"/>
      <c r="AA26" s="241"/>
      <c r="AB26" s="7"/>
      <c r="AC26" s="7"/>
      <c r="AD26" s="7"/>
      <c r="AE26" s="7"/>
      <c r="AF26" s="7"/>
      <c r="AG26" s="7"/>
      <c r="AH26" s="7"/>
      <c r="AI26" s="7"/>
      <c r="AJ26" s="7"/>
    </row>
    <row r="27" customHeight="1" spans="1:36">
      <c r="A27" s="213" t="s">
        <v>149</v>
      </c>
      <c r="B27" s="6" t="s">
        <v>34</v>
      </c>
      <c r="C27" s="214"/>
      <c r="D27" s="214" t="s">
        <v>28</v>
      </c>
      <c r="E27" s="213" t="s">
        <v>150</v>
      </c>
      <c r="F27" s="215" t="s">
        <v>37</v>
      </c>
      <c r="G27" s="216"/>
      <c r="H27" s="216"/>
      <c r="I27" s="213" t="s">
        <v>151</v>
      </c>
      <c r="J27" s="213"/>
      <c r="K27" s="246" t="s">
        <v>152</v>
      </c>
      <c r="L27" s="247"/>
      <c r="M27" s="213"/>
      <c r="N27" s="213" t="s">
        <v>153</v>
      </c>
      <c r="O27" s="213"/>
      <c r="P27" s="213"/>
      <c r="Q27" s="213"/>
      <c r="R27" s="268" t="s">
        <v>154</v>
      </c>
      <c r="S27" s="214"/>
      <c r="T27" s="214" t="s">
        <v>155</v>
      </c>
      <c r="U27" s="214"/>
      <c r="V27" s="216"/>
      <c r="W27" s="216"/>
      <c r="X27" s="6" t="s">
        <v>42</v>
      </c>
      <c r="Y27" s="216"/>
      <c r="Z27" s="213"/>
      <c r="AA27" s="283"/>
      <c r="AB27" s="247"/>
      <c r="AC27" s="247"/>
      <c r="AD27" s="247"/>
      <c r="AE27" s="247"/>
      <c r="AF27" s="247"/>
      <c r="AG27" s="247"/>
      <c r="AH27" s="247"/>
      <c r="AI27" s="247"/>
      <c r="AJ27" s="247"/>
    </row>
    <row r="28" customHeight="1" spans="1:36">
      <c r="A28" s="8" t="s">
        <v>156</v>
      </c>
      <c r="B28" s="6" t="s">
        <v>34</v>
      </c>
      <c r="C28" s="6" t="s">
        <v>35</v>
      </c>
      <c r="D28" s="6" t="s">
        <v>28</v>
      </c>
      <c r="E28" s="8" t="s">
        <v>157</v>
      </c>
      <c r="F28" s="10" t="s">
        <v>37</v>
      </c>
      <c r="G28" s="10" t="s">
        <v>158</v>
      </c>
      <c r="H28" s="20"/>
      <c r="I28" s="8" t="s">
        <v>159</v>
      </c>
      <c r="J28" s="8"/>
      <c r="K28" s="2" t="s">
        <v>160</v>
      </c>
      <c r="L28" s="7"/>
      <c r="M28" s="8"/>
      <c r="N28" s="8"/>
      <c r="O28" s="8"/>
      <c r="P28" s="8" t="s">
        <v>161</v>
      </c>
      <c r="Q28" s="8"/>
      <c r="R28" s="242" t="s">
        <v>162</v>
      </c>
      <c r="S28" s="6"/>
      <c r="T28" s="6" t="s">
        <v>163</v>
      </c>
      <c r="U28" s="6" t="s">
        <v>164</v>
      </c>
      <c r="V28" s="19"/>
      <c r="W28" s="19"/>
      <c r="X28" s="6" t="s">
        <v>42</v>
      </c>
      <c r="Y28" s="20">
        <v>45311</v>
      </c>
      <c r="Z28" s="8"/>
      <c r="AA28" s="241" t="s">
        <v>165</v>
      </c>
      <c r="AB28" s="7"/>
      <c r="AC28" s="7"/>
      <c r="AD28" s="7"/>
      <c r="AE28" s="7"/>
      <c r="AF28" s="7"/>
      <c r="AG28" s="7"/>
      <c r="AH28" s="7"/>
      <c r="AI28" s="7"/>
      <c r="AJ28" s="7"/>
    </row>
    <row r="29" customHeight="1" spans="1:36">
      <c r="A29" s="8" t="s">
        <v>166</v>
      </c>
      <c r="B29" s="6" t="s">
        <v>34</v>
      </c>
      <c r="C29" s="6" t="s">
        <v>35</v>
      </c>
      <c r="D29" s="6" t="s">
        <v>98</v>
      </c>
      <c r="E29" s="8" t="s">
        <v>157</v>
      </c>
      <c r="F29" s="10" t="s">
        <v>131</v>
      </c>
      <c r="G29" s="20"/>
      <c r="H29" s="10">
        <v>1</v>
      </c>
      <c r="I29" s="6" t="s">
        <v>167</v>
      </c>
      <c r="J29" s="6"/>
      <c r="K29" s="6" t="s">
        <v>168</v>
      </c>
      <c r="L29" s="7"/>
      <c r="M29" s="6" t="s">
        <v>169</v>
      </c>
      <c r="N29" s="8" t="s">
        <v>170</v>
      </c>
      <c r="O29" s="8"/>
      <c r="P29" s="8"/>
      <c r="Q29" s="8"/>
      <c r="R29" s="8"/>
      <c r="S29" s="6"/>
      <c r="T29" s="6" t="s">
        <v>171</v>
      </c>
      <c r="U29" s="6" t="s">
        <v>172</v>
      </c>
      <c r="V29" s="19"/>
      <c r="W29" s="19"/>
      <c r="X29" s="6" t="s">
        <v>42</v>
      </c>
      <c r="Y29" s="20">
        <v>45311</v>
      </c>
      <c r="Z29" s="8"/>
      <c r="AA29" s="241" t="s">
        <v>173</v>
      </c>
      <c r="AB29" s="7"/>
      <c r="AC29" s="7"/>
      <c r="AD29" s="7"/>
      <c r="AE29" s="7"/>
      <c r="AF29" s="7"/>
      <c r="AG29" s="7"/>
      <c r="AH29" s="7"/>
      <c r="AI29" s="7"/>
      <c r="AJ29" s="7"/>
    </row>
    <row r="30" customHeight="1" spans="1:36">
      <c r="A30" s="3" t="s">
        <v>174</v>
      </c>
      <c r="B30" s="6" t="s">
        <v>34</v>
      </c>
      <c r="C30" s="2" t="s">
        <v>35</v>
      </c>
      <c r="D30" s="6" t="s">
        <v>28</v>
      </c>
      <c r="E30" s="8"/>
      <c r="F30" s="10" t="s">
        <v>175</v>
      </c>
      <c r="G30" s="10" t="s">
        <v>176</v>
      </c>
      <c r="H30" s="20"/>
      <c r="I30" s="2" t="s">
        <v>177</v>
      </c>
      <c r="J30" s="2"/>
      <c r="K30" s="2" t="s">
        <v>178</v>
      </c>
      <c r="L30" s="7"/>
      <c r="M30" s="8" t="s">
        <v>179</v>
      </c>
      <c r="N30" s="8" t="s">
        <v>178</v>
      </c>
      <c r="O30" s="8"/>
      <c r="P30" s="8"/>
      <c r="Q30" s="242" t="s">
        <v>180</v>
      </c>
      <c r="R30" s="242" t="s">
        <v>181</v>
      </c>
      <c r="S30" s="6"/>
      <c r="T30" s="6"/>
      <c r="U30" s="6"/>
      <c r="V30" s="19"/>
      <c r="W30" s="19"/>
      <c r="X30" s="12"/>
      <c r="Y30" s="20"/>
      <c r="Z30" s="2"/>
      <c r="AA30" s="241"/>
      <c r="AB30" s="7"/>
      <c r="AC30" s="7"/>
      <c r="AD30" s="7"/>
      <c r="AE30" s="7"/>
      <c r="AF30" s="7"/>
      <c r="AG30" s="7"/>
      <c r="AH30" s="7"/>
      <c r="AI30" s="7"/>
      <c r="AJ30" s="7"/>
    </row>
    <row r="31" customHeight="1" spans="1:36">
      <c r="A31" s="8" t="s">
        <v>182</v>
      </c>
      <c r="B31" s="6" t="s">
        <v>34</v>
      </c>
      <c r="C31" s="6" t="s">
        <v>35</v>
      </c>
      <c r="D31" s="6" t="s">
        <v>28</v>
      </c>
      <c r="E31" s="8"/>
      <c r="F31" s="10" t="s">
        <v>183</v>
      </c>
      <c r="G31" s="10" t="s">
        <v>184</v>
      </c>
      <c r="H31" s="10">
        <v>4</v>
      </c>
      <c r="I31" s="8" t="s">
        <v>185</v>
      </c>
      <c r="J31" s="8"/>
      <c r="K31" s="2" t="s">
        <v>186</v>
      </c>
      <c r="L31" s="7"/>
      <c r="M31" s="8"/>
      <c r="N31" s="8"/>
      <c r="O31" s="8"/>
      <c r="P31" s="8"/>
      <c r="Q31" s="8"/>
      <c r="R31" s="8"/>
      <c r="S31" s="6"/>
      <c r="T31" s="6"/>
      <c r="U31" s="6"/>
      <c r="V31" s="19"/>
      <c r="W31" s="19"/>
      <c r="X31" s="2" t="s">
        <v>187</v>
      </c>
      <c r="Y31" s="8"/>
      <c r="Z31" s="8"/>
      <c r="AA31" s="241"/>
      <c r="AB31" s="7"/>
      <c r="AC31" s="7"/>
      <c r="AD31" s="7"/>
      <c r="AE31" s="7"/>
      <c r="AF31" s="7"/>
      <c r="AG31" s="7"/>
      <c r="AH31" s="7"/>
      <c r="AI31" s="7"/>
      <c r="AJ31" s="7"/>
    </row>
    <row r="32" customHeight="1" spans="1:36">
      <c r="A32" s="8" t="s">
        <v>188</v>
      </c>
      <c r="B32" s="6" t="s">
        <v>34</v>
      </c>
      <c r="C32" s="6" t="s">
        <v>189</v>
      </c>
      <c r="D32" s="6" t="s">
        <v>28</v>
      </c>
      <c r="E32" s="8" t="s">
        <v>190</v>
      </c>
      <c r="F32" s="20"/>
      <c r="G32" s="10" t="s">
        <v>191</v>
      </c>
      <c r="H32" s="20"/>
      <c r="I32" s="8" t="s">
        <v>192</v>
      </c>
      <c r="J32" s="8"/>
      <c r="K32" s="8" t="s">
        <v>193</v>
      </c>
      <c r="L32" s="7"/>
      <c r="M32" s="8"/>
      <c r="N32" s="8"/>
      <c r="O32" s="8"/>
      <c r="P32" s="8"/>
      <c r="Q32" s="8"/>
      <c r="R32" s="242" t="s">
        <v>194</v>
      </c>
      <c r="S32" s="6"/>
      <c r="T32" s="8"/>
      <c r="U32" s="8"/>
      <c r="V32" s="19"/>
      <c r="W32" s="19"/>
      <c r="X32" s="28" t="s">
        <v>195</v>
      </c>
      <c r="Y32" s="8"/>
      <c r="Z32" s="8"/>
      <c r="AA32" s="241" t="s">
        <v>196</v>
      </c>
      <c r="AB32" s="7"/>
      <c r="AC32" s="7"/>
      <c r="AD32" s="7"/>
      <c r="AE32" s="7"/>
      <c r="AF32" s="7"/>
      <c r="AG32" s="7"/>
      <c r="AH32" s="7"/>
      <c r="AI32" s="7"/>
      <c r="AJ32" s="7"/>
    </row>
    <row r="33" customHeight="1" spans="1:36">
      <c r="A33" s="3" t="s">
        <v>197</v>
      </c>
      <c r="B33" s="6" t="s">
        <v>34</v>
      </c>
      <c r="C33" s="2" t="s">
        <v>35</v>
      </c>
      <c r="D33" s="6" t="s">
        <v>98</v>
      </c>
      <c r="E33" s="8" t="s">
        <v>190</v>
      </c>
      <c r="F33" s="10" t="s">
        <v>183</v>
      </c>
      <c r="G33" s="20"/>
      <c r="H33" s="20"/>
      <c r="I33" s="2" t="s">
        <v>198</v>
      </c>
      <c r="J33" s="2"/>
      <c r="K33" s="2" t="s">
        <v>199</v>
      </c>
      <c r="L33" s="7"/>
      <c r="M33" s="8"/>
      <c r="N33" s="8" t="s">
        <v>200</v>
      </c>
      <c r="O33" s="8"/>
      <c r="P33" s="242" t="s">
        <v>201</v>
      </c>
      <c r="Q33" s="8"/>
      <c r="R33" s="242" t="s">
        <v>202</v>
      </c>
      <c r="S33" s="6"/>
      <c r="T33" s="6" t="s">
        <v>203</v>
      </c>
      <c r="U33" s="6" t="s">
        <v>204</v>
      </c>
      <c r="V33" s="19"/>
      <c r="W33" s="19"/>
      <c r="X33" s="2" t="s">
        <v>205</v>
      </c>
      <c r="Y33" s="20">
        <v>45311</v>
      </c>
      <c r="Z33" s="2" t="s">
        <v>141</v>
      </c>
      <c r="AA33" s="241" t="s">
        <v>206</v>
      </c>
      <c r="AB33" s="7"/>
      <c r="AC33" s="7"/>
      <c r="AD33" s="7"/>
      <c r="AE33" s="7"/>
      <c r="AF33" s="7"/>
      <c r="AG33" s="7"/>
      <c r="AH33" s="7"/>
      <c r="AI33" s="7"/>
      <c r="AJ33" s="7"/>
    </row>
    <row r="34" customHeight="1" spans="1:36">
      <c r="A34" s="8" t="s">
        <v>207</v>
      </c>
      <c r="B34" s="6" t="s">
        <v>34</v>
      </c>
      <c r="C34" s="6" t="s">
        <v>35</v>
      </c>
      <c r="D34" s="6" t="s">
        <v>28</v>
      </c>
      <c r="E34" s="8" t="s">
        <v>208</v>
      </c>
      <c r="F34" s="10" t="s">
        <v>183</v>
      </c>
      <c r="G34" s="20"/>
      <c r="H34" s="20"/>
      <c r="I34" s="6" t="s">
        <v>209</v>
      </c>
      <c r="J34" s="6"/>
      <c r="K34" s="6" t="s">
        <v>210</v>
      </c>
      <c r="L34" s="7"/>
      <c r="M34" s="248"/>
      <c r="N34" s="248"/>
      <c r="O34" s="248" t="s">
        <v>211</v>
      </c>
      <c r="P34" s="248"/>
      <c r="Q34" s="248"/>
      <c r="R34" s="263" t="s">
        <v>212</v>
      </c>
      <c r="S34" s="6" t="s">
        <v>213</v>
      </c>
      <c r="T34" s="6" t="s">
        <v>214</v>
      </c>
      <c r="U34" s="6"/>
      <c r="V34" s="19"/>
      <c r="W34" s="19"/>
      <c r="X34" s="6" t="s">
        <v>42</v>
      </c>
      <c r="Y34" s="284">
        <v>45484</v>
      </c>
      <c r="Z34" s="8"/>
      <c r="AA34" s="241"/>
      <c r="AB34" s="7"/>
      <c r="AC34" s="7"/>
      <c r="AD34" s="7"/>
      <c r="AE34" s="7"/>
      <c r="AF34" s="7"/>
      <c r="AG34" s="7"/>
      <c r="AH34" s="7"/>
      <c r="AI34" s="7"/>
      <c r="AJ34" s="7"/>
    </row>
    <row r="35" customHeight="1" spans="1:36">
      <c r="A35" s="8" t="s">
        <v>215</v>
      </c>
      <c r="B35" s="6" t="s">
        <v>34</v>
      </c>
      <c r="C35" s="6" t="s">
        <v>61</v>
      </c>
      <c r="D35" s="6" t="s">
        <v>28</v>
      </c>
      <c r="E35" s="8" t="s">
        <v>122</v>
      </c>
      <c r="F35" s="10" t="s">
        <v>37</v>
      </c>
      <c r="G35" s="20"/>
      <c r="H35" s="10">
        <v>4</v>
      </c>
      <c r="I35" s="8" t="s">
        <v>215</v>
      </c>
      <c r="J35" s="8"/>
      <c r="K35" s="8" t="s">
        <v>216</v>
      </c>
      <c r="L35" s="7"/>
      <c r="M35" s="8"/>
      <c r="N35" s="8"/>
      <c r="O35" s="8"/>
      <c r="P35" s="8"/>
      <c r="Q35" s="8"/>
      <c r="R35" s="8"/>
      <c r="S35" s="7"/>
      <c r="T35" s="8"/>
      <c r="U35" s="8"/>
      <c r="V35" s="19"/>
      <c r="W35" s="19"/>
      <c r="X35" s="8" t="s">
        <v>217</v>
      </c>
      <c r="Y35" s="7"/>
      <c r="Z35" s="7"/>
      <c r="AA35" s="280"/>
      <c r="AB35" s="7"/>
      <c r="AC35" s="7"/>
      <c r="AD35" s="7"/>
      <c r="AE35" s="7"/>
      <c r="AF35" s="7"/>
      <c r="AG35" s="7"/>
      <c r="AH35" s="7"/>
      <c r="AI35" s="7"/>
      <c r="AJ35" s="7"/>
    </row>
    <row r="36" customHeight="1" spans="1:36">
      <c r="A36" s="8" t="s">
        <v>218</v>
      </c>
      <c r="B36" s="6" t="s">
        <v>219</v>
      </c>
      <c r="C36" s="8" t="s">
        <v>35</v>
      </c>
      <c r="D36" s="5" t="s">
        <v>28</v>
      </c>
      <c r="E36" s="8" t="s">
        <v>88</v>
      </c>
      <c r="F36" s="10" t="s">
        <v>37</v>
      </c>
      <c r="G36" s="10" t="s">
        <v>220</v>
      </c>
      <c r="H36" s="10"/>
      <c r="I36" s="8"/>
      <c r="J36" s="8"/>
      <c r="K36" s="8" t="s">
        <v>221</v>
      </c>
      <c r="L36" s="7"/>
      <c r="M36" s="8"/>
      <c r="N36" s="8" t="s">
        <v>221</v>
      </c>
      <c r="O36" s="8"/>
      <c r="P36" s="8"/>
      <c r="Q36" s="8"/>
      <c r="R36" s="9"/>
      <c r="S36" s="7"/>
      <c r="T36" s="8"/>
      <c r="U36" s="8"/>
      <c r="V36" s="19"/>
      <c r="W36" s="19"/>
      <c r="X36" s="12"/>
      <c r="Y36" s="7"/>
      <c r="Z36" s="7"/>
      <c r="AA36" s="280"/>
      <c r="AB36" s="7"/>
      <c r="AC36" s="7"/>
      <c r="AD36" s="7"/>
      <c r="AE36" s="7"/>
      <c r="AF36" s="7"/>
      <c r="AG36" s="7"/>
      <c r="AH36" s="7"/>
      <c r="AI36" s="7"/>
      <c r="AJ36" s="7"/>
    </row>
    <row r="37" customHeight="1" spans="1:36">
      <c r="A37" s="8" t="s">
        <v>222</v>
      </c>
      <c r="B37" s="6" t="s">
        <v>34</v>
      </c>
      <c r="C37" s="6" t="s">
        <v>61</v>
      </c>
      <c r="D37" s="6" t="s">
        <v>98</v>
      </c>
      <c r="E37" s="8" t="s">
        <v>115</v>
      </c>
      <c r="F37" s="10"/>
      <c r="G37" s="10"/>
      <c r="H37" s="10">
        <v>2</v>
      </c>
      <c r="I37" s="8" t="s">
        <v>222</v>
      </c>
      <c r="J37" s="8"/>
      <c r="K37" s="6"/>
      <c r="L37" s="7"/>
      <c r="M37" s="8"/>
      <c r="O37" s="8"/>
      <c r="P37" s="242" t="s">
        <v>223</v>
      </c>
      <c r="Q37" s="8"/>
      <c r="R37" s="8"/>
      <c r="S37" s="6"/>
      <c r="T37" s="6"/>
      <c r="U37" s="6"/>
      <c r="V37" s="19"/>
      <c r="W37" s="19"/>
      <c r="X37" s="12"/>
      <c r="Y37" s="281"/>
      <c r="Z37" s="8"/>
      <c r="AA37" s="241"/>
      <c r="AB37" s="7"/>
      <c r="AC37" s="7"/>
      <c r="AD37" s="7"/>
      <c r="AE37" s="7"/>
      <c r="AF37" s="7"/>
      <c r="AG37" s="7"/>
      <c r="AH37" s="7"/>
      <c r="AI37" s="7"/>
      <c r="AJ37" s="7"/>
    </row>
    <row r="38" customHeight="1" spans="1:36">
      <c r="A38" s="8" t="s">
        <v>224</v>
      </c>
      <c r="B38" s="6" t="s">
        <v>219</v>
      </c>
      <c r="C38" s="8" t="s">
        <v>225</v>
      </c>
      <c r="D38" s="5" t="s">
        <v>98</v>
      </c>
      <c r="E38" s="8" t="s">
        <v>115</v>
      </c>
      <c r="F38" s="10"/>
      <c r="G38" s="10"/>
      <c r="H38" s="10"/>
      <c r="I38" s="8" t="s">
        <v>224</v>
      </c>
      <c r="J38" s="8"/>
      <c r="K38" s="8"/>
      <c r="L38" s="7"/>
      <c r="M38" s="8"/>
      <c r="N38" s="8" t="s">
        <v>226</v>
      </c>
      <c r="O38" s="8"/>
      <c r="P38" s="8"/>
      <c r="Q38" s="8"/>
      <c r="R38" s="9"/>
      <c r="S38" s="7"/>
      <c r="T38" s="8"/>
      <c r="U38" s="8"/>
      <c r="V38" s="19"/>
      <c r="W38" s="19"/>
      <c r="X38" s="12"/>
      <c r="Y38" s="7"/>
      <c r="Z38" s="7"/>
      <c r="AA38" s="280"/>
      <c r="AB38" s="7"/>
      <c r="AC38" s="7"/>
      <c r="AD38" s="7"/>
      <c r="AE38" s="7"/>
      <c r="AF38" s="7"/>
      <c r="AG38" s="7"/>
      <c r="AH38" s="7"/>
      <c r="AI38" s="7"/>
      <c r="AJ38" s="7"/>
    </row>
    <row r="39" customHeight="1" spans="1:36">
      <c r="A39" s="8" t="s">
        <v>227</v>
      </c>
      <c r="B39" s="6" t="s">
        <v>34</v>
      </c>
      <c r="C39" s="8" t="s">
        <v>35</v>
      </c>
      <c r="D39" s="5" t="s">
        <v>28</v>
      </c>
      <c r="E39" s="8"/>
      <c r="F39" s="10" t="s">
        <v>37</v>
      </c>
      <c r="G39" s="10"/>
      <c r="H39" s="10"/>
      <c r="I39" s="8"/>
      <c r="J39" s="8"/>
      <c r="K39" s="8" t="s">
        <v>228</v>
      </c>
      <c r="L39" s="7"/>
      <c r="M39" s="8" t="s">
        <v>229</v>
      </c>
      <c r="N39" s="8"/>
      <c r="O39" s="8"/>
      <c r="P39" s="242" t="s">
        <v>230</v>
      </c>
      <c r="Q39" s="8"/>
      <c r="R39" s="37" t="s">
        <v>231</v>
      </c>
      <c r="S39" s="7"/>
      <c r="T39" s="8"/>
      <c r="U39" s="8"/>
      <c r="V39" s="19"/>
      <c r="W39" s="19"/>
      <c r="X39" s="12"/>
      <c r="Y39" s="7"/>
      <c r="Z39" s="7"/>
      <c r="AA39" s="280"/>
      <c r="AB39" s="7"/>
      <c r="AC39" s="7"/>
      <c r="AD39" s="7"/>
      <c r="AE39" s="7"/>
      <c r="AF39" s="7"/>
      <c r="AG39" s="7"/>
      <c r="AH39" s="7"/>
      <c r="AI39" s="7"/>
      <c r="AJ39" s="7"/>
    </row>
    <row r="40" customHeight="1" spans="1:36">
      <c r="A40" s="5" t="s">
        <v>232</v>
      </c>
      <c r="B40" s="6" t="s">
        <v>34</v>
      </c>
      <c r="C40" s="6" t="s">
        <v>35</v>
      </c>
      <c r="D40" s="6" t="s">
        <v>98</v>
      </c>
      <c r="E40" s="5" t="s">
        <v>233</v>
      </c>
      <c r="F40" s="7"/>
      <c r="G40" s="7"/>
      <c r="H40" s="7"/>
      <c r="I40" s="7"/>
      <c r="J40" s="7"/>
      <c r="K40" s="5"/>
      <c r="L40" s="7"/>
      <c r="M40" s="7"/>
      <c r="N40" s="7"/>
      <c r="O40" s="7"/>
      <c r="P40" s="7"/>
      <c r="Q40" s="7"/>
      <c r="R40" s="7"/>
      <c r="S40" s="7"/>
      <c r="T40" s="7"/>
      <c r="U40" s="7"/>
      <c r="V40" s="7"/>
      <c r="W40" s="7"/>
      <c r="X40" s="8" t="s">
        <v>233</v>
      </c>
      <c r="Y40" s="7"/>
      <c r="Z40" s="7"/>
      <c r="AA40" s="280"/>
      <c r="AB40" s="7"/>
      <c r="AC40" s="7"/>
      <c r="AD40" s="7"/>
      <c r="AE40" s="7"/>
      <c r="AF40" s="7"/>
      <c r="AG40" s="7"/>
      <c r="AH40" s="7"/>
      <c r="AI40" s="7"/>
      <c r="AJ40" s="7"/>
    </row>
    <row r="41" customHeight="1" spans="1:36">
      <c r="A41" s="8" t="s">
        <v>234</v>
      </c>
      <c r="B41" s="6" t="s">
        <v>34</v>
      </c>
      <c r="C41" s="8" t="s">
        <v>189</v>
      </c>
      <c r="D41" s="7" t="s">
        <v>28</v>
      </c>
      <c r="E41" s="8" t="s">
        <v>36</v>
      </c>
      <c r="F41" s="10" t="s">
        <v>37</v>
      </c>
      <c r="G41" s="10"/>
      <c r="H41" s="10">
        <v>4</v>
      </c>
      <c r="I41" s="8"/>
      <c r="J41" s="8"/>
      <c r="K41" s="8" t="s">
        <v>235</v>
      </c>
      <c r="L41" s="7"/>
      <c r="M41" s="8"/>
      <c r="N41" s="8"/>
      <c r="O41" s="8"/>
      <c r="P41" s="242" t="s">
        <v>236</v>
      </c>
      <c r="Q41" s="242" t="s">
        <v>237</v>
      </c>
      <c r="S41" s="7"/>
      <c r="T41" s="8"/>
      <c r="U41" s="8"/>
      <c r="V41" s="19"/>
      <c r="W41" s="19"/>
      <c r="X41" s="6" t="s">
        <v>42</v>
      </c>
      <c r="Y41" s="7"/>
      <c r="Z41" s="7"/>
      <c r="AA41" s="280"/>
      <c r="AB41" s="7"/>
      <c r="AC41" s="7"/>
      <c r="AD41" s="7"/>
      <c r="AE41" s="7"/>
      <c r="AF41" s="7"/>
      <c r="AG41" s="7"/>
      <c r="AH41" s="7"/>
      <c r="AI41" s="7"/>
      <c r="AJ41" s="7"/>
    </row>
    <row r="42" customHeight="1" spans="1:36">
      <c r="A42" s="6" t="s">
        <v>238</v>
      </c>
      <c r="B42" s="6" t="s">
        <v>34</v>
      </c>
      <c r="C42" s="6" t="s">
        <v>35</v>
      </c>
      <c r="D42" s="6" t="s">
        <v>28</v>
      </c>
      <c r="E42" s="8" t="s">
        <v>36</v>
      </c>
      <c r="F42" s="10" t="s">
        <v>37</v>
      </c>
      <c r="G42" s="20"/>
      <c r="H42" s="20"/>
      <c r="I42" s="6" t="s">
        <v>239</v>
      </c>
      <c r="J42" s="6"/>
      <c r="K42" s="6" t="s">
        <v>240</v>
      </c>
      <c r="L42" s="6" t="s">
        <v>241</v>
      </c>
      <c r="M42" s="8"/>
      <c r="N42" s="8"/>
      <c r="O42" s="8"/>
      <c r="P42" s="242" t="s">
        <v>242</v>
      </c>
      <c r="Q42" s="8"/>
      <c r="R42" s="242" t="s">
        <v>243</v>
      </c>
      <c r="S42" s="6"/>
      <c r="T42" s="8" t="s">
        <v>244</v>
      </c>
      <c r="U42" s="8"/>
      <c r="V42" s="19"/>
      <c r="W42" s="19"/>
      <c r="X42" s="6" t="s">
        <v>42</v>
      </c>
      <c r="Y42" s="284">
        <v>45484</v>
      </c>
      <c r="Z42" s="8"/>
      <c r="AA42" s="241" t="s">
        <v>245</v>
      </c>
      <c r="AB42" s="7"/>
      <c r="AC42" s="7"/>
      <c r="AD42" s="7"/>
      <c r="AE42" s="7"/>
      <c r="AF42" s="7"/>
      <c r="AG42" s="7"/>
      <c r="AH42" s="7"/>
      <c r="AI42" s="7"/>
      <c r="AJ42" s="7"/>
    </row>
    <row r="43" customHeight="1" spans="1:36">
      <c r="A43" s="217" t="s">
        <v>246</v>
      </c>
      <c r="B43" s="218"/>
      <c r="C43" s="218" t="s">
        <v>189</v>
      </c>
      <c r="D43" s="218" t="s">
        <v>28</v>
      </c>
      <c r="E43" s="217" t="s">
        <v>247</v>
      </c>
      <c r="F43" s="219"/>
      <c r="G43" s="220" t="s">
        <v>248</v>
      </c>
      <c r="H43" s="219"/>
      <c r="I43" s="219"/>
      <c r="J43" s="219"/>
      <c r="K43" s="219"/>
      <c r="L43" s="219"/>
      <c r="M43" s="219"/>
      <c r="N43" s="219"/>
      <c r="O43" s="219"/>
      <c r="P43" s="219"/>
      <c r="Q43" s="219"/>
      <c r="R43" s="269"/>
      <c r="S43" s="218"/>
      <c r="T43" s="218"/>
      <c r="U43" s="218"/>
      <c r="V43" s="270"/>
      <c r="W43" s="270"/>
      <c r="X43" s="271"/>
      <c r="Y43" s="217"/>
      <c r="Z43" s="217"/>
      <c r="AA43" s="285"/>
      <c r="AB43" s="252"/>
      <c r="AC43" s="252"/>
      <c r="AD43" s="252"/>
      <c r="AE43" s="252"/>
      <c r="AF43" s="252"/>
      <c r="AG43" s="252"/>
      <c r="AH43" s="252"/>
      <c r="AI43" s="252"/>
      <c r="AJ43" s="252"/>
    </row>
    <row r="44" customHeight="1" spans="1:36">
      <c r="A44" s="221" t="s">
        <v>249</v>
      </c>
      <c r="B44" s="6" t="s">
        <v>34</v>
      </c>
      <c r="C44" s="5" t="s">
        <v>61</v>
      </c>
      <c r="D44" s="5" t="s">
        <v>98</v>
      </c>
      <c r="E44" s="8" t="s">
        <v>88</v>
      </c>
      <c r="F44" s="20"/>
      <c r="G44" s="20"/>
      <c r="H44" s="20"/>
      <c r="I44" s="7"/>
      <c r="J44" s="7"/>
      <c r="K44" s="7"/>
      <c r="L44" s="7"/>
      <c r="M44" s="7"/>
      <c r="N44" s="7"/>
      <c r="O44" s="7"/>
      <c r="P44" s="7"/>
      <c r="Q44" s="7"/>
      <c r="R44" s="7"/>
      <c r="S44" s="7"/>
      <c r="T44" s="7"/>
      <c r="U44" s="7"/>
      <c r="V44" s="19"/>
      <c r="W44" s="19"/>
      <c r="X44" s="12"/>
      <c r="Y44" s="7"/>
      <c r="Z44" s="7"/>
      <c r="AA44" s="280"/>
      <c r="AB44" s="7"/>
      <c r="AC44" s="7"/>
      <c r="AD44" s="7"/>
      <c r="AE44" s="7"/>
      <c r="AF44" s="7"/>
      <c r="AG44" s="7"/>
      <c r="AH44" s="7"/>
      <c r="AI44" s="7"/>
      <c r="AJ44" s="7"/>
    </row>
    <row r="45" customHeight="1" spans="1:36">
      <c r="A45" s="222" t="s">
        <v>250</v>
      </c>
      <c r="B45" s="223" t="s">
        <v>27</v>
      </c>
      <c r="C45" s="224" t="s">
        <v>35</v>
      </c>
      <c r="D45" s="224" t="s">
        <v>28</v>
      </c>
      <c r="E45" s="222" t="s">
        <v>251</v>
      </c>
      <c r="F45" s="10" t="s">
        <v>252</v>
      </c>
      <c r="G45" s="225" t="s">
        <v>253</v>
      </c>
      <c r="H45" s="226"/>
      <c r="I45" s="224"/>
      <c r="J45" s="224"/>
      <c r="K45" s="224" t="s">
        <v>26</v>
      </c>
      <c r="L45" s="249"/>
      <c r="M45" s="224" t="s">
        <v>254</v>
      </c>
      <c r="N45" s="250"/>
      <c r="O45" s="250"/>
      <c r="P45" s="250"/>
      <c r="Q45" s="250"/>
      <c r="R45" s="249"/>
      <c r="S45" s="249"/>
      <c r="T45" s="224"/>
      <c r="U45" s="249"/>
      <c r="V45" s="226"/>
      <c r="W45" s="226"/>
      <c r="X45" s="223"/>
      <c r="Y45" s="286"/>
      <c r="Z45" s="249"/>
      <c r="AA45" s="287"/>
      <c r="AB45" s="249"/>
      <c r="AC45" s="249"/>
      <c r="AD45" s="249"/>
      <c r="AE45" s="249"/>
      <c r="AF45" s="249"/>
      <c r="AG45" s="249"/>
      <c r="AH45" s="249"/>
      <c r="AI45" s="249"/>
      <c r="AJ45" s="249"/>
    </row>
    <row r="46" customHeight="1" spans="1:36">
      <c r="A46" s="213" t="s">
        <v>255</v>
      </c>
      <c r="B46" s="6" t="s">
        <v>34</v>
      </c>
      <c r="C46" s="5" t="s">
        <v>61</v>
      </c>
      <c r="D46" s="227" t="s">
        <v>28</v>
      </c>
      <c r="E46" s="213" t="s">
        <v>36</v>
      </c>
      <c r="F46" s="10" t="s">
        <v>37</v>
      </c>
      <c r="G46" s="216"/>
      <c r="H46" s="216"/>
      <c r="I46" s="227" t="s">
        <v>255</v>
      </c>
      <c r="J46" s="227"/>
      <c r="K46" s="227" t="s">
        <v>256</v>
      </c>
      <c r="L46" s="7"/>
      <c r="R46" s="7"/>
      <c r="S46" s="7"/>
      <c r="T46" s="5" t="s">
        <v>257</v>
      </c>
      <c r="U46" s="7"/>
      <c r="V46" s="19"/>
      <c r="W46" s="19"/>
      <c r="X46" s="214" t="s">
        <v>42</v>
      </c>
      <c r="Y46" s="288">
        <v>45489</v>
      </c>
      <c r="Z46" s="7"/>
      <c r="AA46" s="280"/>
      <c r="AB46" s="7"/>
      <c r="AC46" s="7"/>
      <c r="AD46" s="7"/>
      <c r="AE46" s="7"/>
      <c r="AF46" s="7"/>
      <c r="AG46" s="7"/>
      <c r="AH46" s="7"/>
      <c r="AI46" s="7"/>
      <c r="AJ46" s="7"/>
    </row>
    <row r="47" customHeight="1" spans="1:36">
      <c r="A47" s="8" t="s">
        <v>258</v>
      </c>
      <c r="B47" s="6" t="s">
        <v>31</v>
      </c>
      <c r="C47" s="6" t="s">
        <v>35</v>
      </c>
      <c r="D47" s="6" t="s">
        <v>28</v>
      </c>
      <c r="E47" s="8" t="s">
        <v>88</v>
      </c>
      <c r="F47" s="10" t="s">
        <v>37</v>
      </c>
      <c r="G47" s="10" t="s">
        <v>259</v>
      </c>
      <c r="H47" s="20"/>
      <c r="I47" s="6"/>
      <c r="J47" s="6"/>
      <c r="K47" s="6" t="s">
        <v>260</v>
      </c>
      <c r="L47" s="7"/>
      <c r="M47" s="251" t="s">
        <v>261</v>
      </c>
      <c r="N47" s="251"/>
      <c r="O47" s="251" t="s">
        <v>260</v>
      </c>
      <c r="P47" s="251" t="s">
        <v>262</v>
      </c>
      <c r="Q47" s="251"/>
      <c r="R47" s="5"/>
      <c r="S47" s="6"/>
      <c r="T47" s="6"/>
      <c r="U47" s="6"/>
      <c r="V47" s="19"/>
      <c r="W47" s="19"/>
      <c r="X47" s="6"/>
      <c r="Y47" s="20"/>
      <c r="Z47" s="8"/>
      <c r="AA47" s="241"/>
      <c r="AB47" s="7"/>
      <c r="AC47" s="7"/>
      <c r="AD47" s="7"/>
      <c r="AE47" s="7"/>
      <c r="AF47" s="7"/>
      <c r="AG47" s="7"/>
      <c r="AH47" s="7"/>
      <c r="AI47" s="7"/>
      <c r="AJ47" s="7"/>
    </row>
    <row r="48" customHeight="1" spans="1:36">
      <c r="A48" s="8" t="s">
        <v>263</v>
      </c>
      <c r="B48" s="6" t="s">
        <v>34</v>
      </c>
      <c r="C48" s="6" t="s">
        <v>35</v>
      </c>
      <c r="D48" s="6" t="s">
        <v>28</v>
      </c>
      <c r="E48" s="8" t="s">
        <v>190</v>
      </c>
      <c r="F48" s="10" t="s">
        <v>37</v>
      </c>
      <c r="G48" s="10" t="s">
        <v>264</v>
      </c>
      <c r="H48" s="20"/>
      <c r="I48" s="6" t="s">
        <v>265</v>
      </c>
      <c r="J48" s="6"/>
      <c r="K48" s="6" t="s">
        <v>266</v>
      </c>
      <c r="L48" s="7"/>
      <c r="M48" s="251"/>
      <c r="N48" s="251"/>
      <c r="O48" s="251"/>
      <c r="P48" s="251" t="s">
        <v>267</v>
      </c>
      <c r="Q48" s="251"/>
      <c r="R48" s="260" t="s">
        <v>268</v>
      </c>
      <c r="S48" s="6"/>
      <c r="T48" s="6" t="s">
        <v>269</v>
      </c>
      <c r="U48" s="6" t="s">
        <v>270</v>
      </c>
      <c r="V48" s="19"/>
      <c r="W48" s="19"/>
      <c r="X48" s="6" t="s">
        <v>42</v>
      </c>
      <c r="Y48" s="20">
        <v>45311</v>
      </c>
      <c r="Z48" s="8"/>
      <c r="AA48" s="241" t="s">
        <v>113</v>
      </c>
      <c r="AB48" s="7"/>
      <c r="AC48" s="7"/>
      <c r="AD48" s="7"/>
      <c r="AE48" s="7"/>
      <c r="AF48" s="7"/>
      <c r="AG48" s="7"/>
      <c r="AH48" s="7"/>
      <c r="AI48" s="7"/>
      <c r="AJ48" s="7"/>
    </row>
    <row r="49" customHeight="1" spans="1:36">
      <c r="A49" s="8" t="s">
        <v>271</v>
      </c>
      <c r="B49" s="6" t="s">
        <v>34</v>
      </c>
      <c r="C49" s="5" t="s">
        <v>189</v>
      </c>
      <c r="D49" s="5" t="s">
        <v>28</v>
      </c>
      <c r="E49" s="8"/>
      <c r="F49" s="10" t="s">
        <v>37</v>
      </c>
      <c r="G49" s="20"/>
      <c r="H49" s="20"/>
      <c r="I49" s="7"/>
      <c r="J49" s="7"/>
      <c r="K49" s="5" t="s">
        <v>272</v>
      </c>
      <c r="L49" s="7"/>
      <c r="M49" s="7"/>
      <c r="N49" s="7"/>
      <c r="O49" s="7"/>
      <c r="P49" s="7"/>
      <c r="Q49" s="7"/>
      <c r="R49" s="260" t="s">
        <v>273</v>
      </c>
      <c r="S49" s="5" t="s">
        <v>274</v>
      </c>
      <c r="T49" s="7"/>
      <c r="U49" s="7"/>
      <c r="V49" s="19"/>
      <c r="W49" s="19"/>
      <c r="X49" s="12"/>
      <c r="Y49" s="5"/>
      <c r="Z49" s="7"/>
      <c r="AA49" s="280"/>
      <c r="AB49" s="7"/>
      <c r="AC49" s="7"/>
      <c r="AD49" s="7"/>
      <c r="AE49" s="7"/>
      <c r="AF49" s="7"/>
      <c r="AG49" s="7"/>
      <c r="AH49" s="7"/>
      <c r="AI49" s="7"/>
      <c r="AJ49" s="7"/>
    </row>
    <row r="50" customHeight="1" spans="1:36">
      <c r="A50" s="228" t="s">
        <v>275</v>
      </c>
      <c r="B50" s="218" t="s">
        <v>27</v>
      </c>
      <c r="C50" s="229"/>
      <c r="D50" s="229" t="s">
        <v>28</v>
      </c>
      <c r="E50" s="217" t="s">
        <v>247</v>
      </c>
      <c r="F50" s="219" t="s">
        <v>276</v>
      </c>
      <c r="G50" s="219"/>
      <c r="H50" s="219"/>
      <c r="I50" s="219"/>
      <c r="J50" s="219"/>
      <c r="K50" s="229" t="s">
        <v>277</v>
      </c>
      <c r="L50" s="219"/>
      <c r="M50" s="229" t="s">
        <v>278</v>
      </c>
      <c r="N50" s="219"/>
      <c r="O50" s="219"/>
      <c r="P50" s="252"/>
      <c r="Q50" s="229"/>
      <c r="R50" s="252"/>
      <c r="S50" s="252"/>
      <c r="T50" s="229"/>
      <c r="U50" s="252"/>
      <c r="V50" s="272"/>
      <c r="W50" s="272"/>
      <c r="X50" s="273"/>
      <c r="Y50" s="252"/>
      <c r="Z50" s="252"/>
      <c r="AA50" s="289">
        <v>45686</v>
      </c>
      <c r="AB50" s="252"/>
      <c r="AC50" s="252"/>
      <c r="AD50" s="252"/>
      <c r="AE50" s="252"/>
      <c r="AF50" s="252"/>
      <c r="AG50" s="252"/>
      <c r="AH50" s="252"/>
      <c r="AI50" s="252"/>
      <c r="AJ50" s="252"/>
    </row>
    <row r="51" customHeight="1" spans="1:36">
      <c r="A51" s="230" t="s">
        <v>279</v>
      </c>
      <c r="B51" s="6" t="s">
        <v>34</v>
      </c>
      <c r="C51" s="5" t="s">
        <v>61</v>
      </c>
      <c r="D51" s="5" t="s">
        <v>98</v>
      </c>
      <c r="E51" s="8" t="s">
        <v>280</v>
      </c>
      <c r="F51" s="10" t="s">
        <v>37</v>
      </c>
      <c r="G51" s="10"/>
      <c r="H51" s="10">
        <v>1</v>
      </c>
      <c r="I51" s="7"/>
      <c r="J51" s="7"/>
      <c r="K51" s="7"/>
      <c r="L51" s="7"/>
      <c r="M51" s="7"/>
      <c r="N51" s="7"/>
      <c r="O51" s="7"/>
      <c r="P51" s="7"/>
      <c r="Q51" s="5" t="s">
        <v>281</v>
      </c>
      <c r="R51" s="7"/>
      <c r="S51" s="7"/>
      <c r="T51" s="5" t="s">
        <v>282</v>
      </c>
      <c r="U51" s="7"/>
      <c r="V51" s="19"/>
      <c r="W51" s="19"/>
      <c r="X51" s="12"/>
      <c r="Y51" s="7"/>
      <c r="Z51" s="7"/>
      <c r="AA51" s="280"/>
      <c r="AB51" s="7"/>
      <c r="AC51" s="7"/>
      <c r="AD51" s="7"/>
      <c r="AE51" s="7"/>
      <c r="AF51" s="7"/>
      <c r="AG51" s="7"/>
      <c r="AH51" s="7"/>
      <c r="AI51" s="7"/>
      <c r="AJ51" s="7"/>
    </row>
    <row r="52" customHeight="1" spans="1:36">
      <c r="A52" s="231" t="s">
        <v>283</v>
      </c>
      <c r="B52" s="232" t="s">
        <v>34</v>
      </c>
      <c r="C52" s="232" t="s">
        <v>35</v>
      </c>
      <c r="D52" s="232" t="s">
        <v>28</v>
      </c>
      <c r="E52" s="233" t="s">
        <v>88</v>
      </c>
      <c r="F52" s="10" t="s">
        <v>37</v>
      </c>
      <c r="G52" s="234"/>
      <c r="H52" s="234">
        <v>2</v>
      </c>
      <c r="I52" s="233"/>
      <c r="J52" s="233"/>
      <c r="K52" s="232" t="s">
        <v>284</v>
      </c>
      <c r="L52" s="253"/>
      <c r="M52" s="254"/>
      <c r="N52" s="254" t="s">
        <v>285</v>
      </c>
      <c r="O52" s="254"/>
      <c r="P52" s="255" t="s">
        <v>286</v>
      </c>
      <c r="Q52" s="255" t="s">
        <v>287</v>
      </c>
      <c r="R52" s="274"/>
      <c r="S52" s="232"/>
      <c r="T52" s="233"/>
      <c r="U52" s="233"/>
      <c r="V52" s="235"/>
      <c r="W52" s="235"/>
      <c r="X52" s="232" t="s">
        <v>288</v>
      </c>
      <c r="Y52" s="233"/>
      <c r="Z52" s="233"/>
      <c r="AA52" s="290" t="s">
        <v>289</v>
      </c>
      <c r="AB52" s="253"/>
      <c r="AC52" s="253"/>
      <c r="AD52" s="253"/>
      <c r="AE52" s="253"/>
      <c r="AF52" s="253"/>
      <c r="AG52" s="253"/>
      <c r="AH52" s="253"/>
      <c r="AI52" s="253"/>
      <c r="AJ52" s="253"/>
    </row>
    <row r="53" customHeight="1" spans="1:36">
      <c r="A53" s="8" t="s">
        <v>290</v>
      </c>
      <c r="B53" s="6" t="s">
        <v>34</v>
      </c>
      <c r="C53" s="6" t="s">
        <v>35</v>
      </c>
      <c r="D53" s="6" t="s">
        <v>28</v>
      </c>
      <c r="E53" s="8" t="s">
        <v>291</v>
      </c>
      <c r="F53" s="10" t="s">
        <v>37</v>
      </c>
      <c r="G53" s="10"/>
      <c r="H53" s="10">
        <v>4</v>
      </c>
      <c r="I53" s="8"/>
      <c r="J53" s="8"/>
      <c r="K53" s="2" t="s">
        <v>292</v>
      </c>
      <c r="L53" s="7"/>
      <c r="M53" s="8"/>
      <c r="N53" s="8" t="s">
        <v>293</v>
      </c>
      <c r="O53" s="8"/>
      <c r="P53" s="8"/>
      <c r="Q53" s="8"/>
      <c r="R53" s="8"/>
      <c r="S53" s="6"/>
      <c r="T53" s="6" t="s">
        <v>294</v>
      </c>
      <c r="U53" s="6" t="s">
        <v>295</v>
      </c>
      <c r="V53" s="19"/>
      <c r="W53" s="19"/>
      <c r="X53" s="6" t="s">
        <v>42</v>
      </c>
      <c r="Y53" s="8"/>
      <c r="Z53" s="8"/>
      <c r="AA53" s="241" t="s">
        <v>296</v>
      </c>
      <c r="AB53" s="7"/>
      <c r="AC53" s="7"/>
      <c r="AD53" s="7"/>
      <c r="AE53" s="7"/>
      <c r="AF53" s="7"/>
      <c r="AG53" s="7"/>
      <c r="AH53" s="7"/>
      <c r="AI53" s="7"/>
      <c r="AJ53" s="7"/>
    </row>
    <row r="54" customHeight="1" spans="1:36">
      <c r="A54" s="90" t="s">
        <v>297</v>
      </c>
      <c r="B54" s="91" t="s">
        <v>34</v>
      </c>
      <c r="C54" s="91" t="s">
        <v>35</v>
      </c>
      <c r="D54" s="91" t="s">
        <v>28</v>
      </c>
      <c r="E54" s="90" t="s">
        <v>298</v>
      </c>
      <c r="F54" s="10" t="s">
        <v>299</v>
      </c>
      <c r="G54" s="92" t="s">
        <v>300</v>
      </c>
      <c r="H54" s="92">
        <v>3</v>
      </c>
      <c r="I54" s="90" t="s">
        <v>301</v>
      </c>
      <c r="J54" s="90"/>
      <c r="K54" s="256" t="s">
        <v>302</v>
      </c>
      <c r="L54" s="112"/>
      <c r="M54" s="90" t="s">
        <v>303</v>
      </c>
      <c r="N54" s="90" t="s">
        <v>304</v>
      </c>
      <c r="O54" s="90"/>
      <c r="P54" s="113" t="s">
        <v>305</v>
      </c>
      <c r="Q54" s="113" t="s">
        <v>306</v>
      </c>
      <c r="R54" s="113" t="s">
        <v>307</v>
      </c>
      <c r="S54" s="91"/>
      <c r="T54" s="90" t="s">
        <v>308</v>
      </c>
      <c r="U54" s="91" t="s">
        <v>309</v>
      </c>
      <c r="V54" s="123"/>
      <c r="W54" s="92" t="s">
        <v>310</v>
      </c>
      <c r="X54" s="91" t="s">
        <v>42</v>
      </c>
      <c r="Y54" s="90"/>
      <c r="Z54" s="90"/>
      <c r="AA54" s="291" t="s">
        <v>311</v>
      </c>
      <c r="AB54" s="112"/>
      <c r="AC54" s="112"/>
      <c r="AD54" s="112"/>
      <c r="AE54" s="112"/>
      <c r="AF54" s="112"/>
      <c r="AG54" s="112"/>
      <c r="AH54" s="112"/>
      <c r="AI54" s="112"/>
      <c r="AJ54" s="112"/>
    </row>
    <row r="55" customHeight="1" spans="1:36">
      <c r="A55" s="233" t="s">
        <v>312</v>
      </c>
      <c r="B55" s="232" t="s">
        <v>31</v>
      </c>
      <c r="C55" s="232" t="s">
        <v>61</v>
      </c>
      <c r="D55" s="232"/>
      <c r="E55" s="233" t="s">
        <v>54</v>
      </c>
      <c r="F55" s="235"/>
      <c r="G55" s="234" t="s">
        <v>313</v>
      </c>
      <c r="H55" s="235"/>
      <c r="I55" s="233"/>
      <c r="J55" s="233"/>
      <c r="K55" s="232">
        <v>9</v>
      </c>
      <c r="L55" s="253"/>
      <c r="M55" s="233"/>
      <c r="N55" s="233"/>
      <c r="O55" s="233"/>
      <c r="P55" s="257" t="s">
        <v>314</v>
      </c>
      <c r="Q55" s="257" t="s">
        <v>315</v>
      </c>
      <c r="R55" s="233"/>
      <c r="S55" s="232"/>
      <c r="T55" s="232"/>
      <c r="U55" s="232"/>
      <c r="V55" s="235"/>
      <c r="W55" s="235"/>
      <c r="X55" s="232"/>
      <c r="Y55" s="233"/>
      <c r="Z55" s="233"/>
      <c r="AA55" s="290"/>
      <c r="AB55" s="253"/>
      <c r="AC55" s="253"/>
      <c r="AD55" s="253"/>
      <c r="AE55" s="253"/>
      <c r="AF55" s="253"/>
      <c r="AG55" s="253"/>
      <c r="AH55" s="253"/>
      <c r="AI55" s="253"/>
      <c r="AJ55" s="253"/>
    </row>
    <row r="56" customHeight="1" spans="1:36">
      <c r="A56" s="83" t="s">
        <v>316</v>
      </c>
      <c r="B56" s="82" t="s">
        <v>34</v>
      </c>
      <c r="C56" s="82" t="s">
        <v>189</v>
      </c>
      <c r="D56" s="82" t="s">
        <v>28</v>
      </c>
      <c r="E56" s="83" t="s">
        <v>291</v>
      </c>
      <c r="F56" s="236" t="s">
        <v>37</v>
      </c>
      <c r="G56" s="19"/>
      <c r="H56" s="19"/>
      <c r="I56" s="83"/>
      <c r="J56" s="83"/>
      <c r="K56" s="82" t="s">
        <v>317</v>
      </c>
      <c r="L56" s="258"/>
      <c r="M56" s="83"/>
      <c r="N56" s="83"/>
      <c r="O56" s="83"/>
      <c r="P56" s="259" t="s">
        <v>318</v>
      </c>
      <c r="Q56" s="259" t="s">
        <v>318</v>
      </c>
      <c r="R56" s="83"/>
      <c r="S56" s="82"/>
      <c r="T56" s="82"/>
      <c r="U56" s="82" t="s">
        <v>29</v>
      </c>
      <c r="V56" s="19"/>
      <c r="W56" s="19"/>
      <c r="X56" s="82" t="s">
        <v>319</v>
      </c>
      <c r="Y56" s="83"/>
      <c r="Z56" s="83"/>
      <c r="AA56" s="292" t="s">
        <v>320</v>
      </c>
      <c r="AB56" s="258"/>
      <c r="AC56" s="258"/>
      <c r="AD56" s="258"/>
      <c r="AE56" s="258"/>
      <c r="AF56" s="258"/>
      <c r="AG56" s="258"/>
      <c r="AH56" s="258"/>
      <c r="AI56" s="258"/>
      <c r="AJ56" s="258"/>
    </row>
    <row r="57" customHeight="1" spans="1:36">
      <c r="A57" s="8" t="s">
        <v>321</v>
      </c>
      <c r="B57" s="6" t="s">
        <v>34</v>
      </c>
      <c r="C57" s="6" t="s">
        <v>189</v>
      </c>
      <c r="D57" s="6" t="s">
        <v>28</v>
      </c>
      <c r="E57" s="8" t="s">
        <v>291</v>
      </c>
      <c r="F57" s="219"/>
      <c r="G57" s="219"/>
      <c r="H57" s="219"/>
      <c r="I57" s="219"/>
      <c r="J57" s="219"/>
      <c r="K57" s="6" t="s">
        <v>322</v>
      </c>
      <c r="L57" s="219"/>
      <c r="M57" s="219"/>
      <c r="N57" s="219"/>
      <c r="O57" s="219"/>
      <c r="P57" s="219"/>
      <c r="Q57" s="219"/>
      <c r="R57" s="219"/>
      <c r="S57" s="219"/>
      <c r="T57" s="219"/>
      <c r="U57" s="6" t="s">
        <v>29</v>
      </c>
      <c r="V57" s="19"/>
      <c r="W57" s="19"/>
      <c r="X57" s="275" t="s">
        <v>205</v>
      </c>
      <c r="Y57" s="8"/>
      <c r="Z57" s="8"/>
      <c r="AA57" s="241" t="s">
        <v>320</v>
      </c>
      <c r="AB57" s="7"/>
      <c r="AC57" s="7"/>
      <c r="AD57" s="7"/>
      <c r="AE57" s="7"/>
      <c r="AF57" s="7"/>
      <c r="AG57" s="7"/>
      <c r="AH57" s="7"/>
      <c r="AI57" s="7"/>
      <c r="AJ57" s="7"/>
    </row>
    <row r="58" customHeight="1" spans="1:36">
      <c r="A58" s="206" t="s">
        <v>323</v>
      </c>
      <c r="B58" s="207" t="s">
        <v>34</v>
      </c>
      <c r="C58" s="207" t="s">
        <v>189</v>
      </c>
      <c r="D58" s="207" t="s">
        <v>28</v>
      </c>
      <c r="E58" s="206" t="s">
        <v>36</v>
      </c>
      <c r="F58" s="208" t="s">
        <v>37</v>
      </c>
      <c r="G58" s="237"/>
      <c r="H58" s="237"/>
      <c r="I58" s="206" t="s">
        <v>324</v>
      </c>
      <c r="J58" s="206"/>
      <c r="K58" s="207" t="s">
        <v>325</v>
      </c>
      <c r="L58" s="240"/>
      <c r="M58" s="206"/>
      <c r="N58" s="206" t="s">
        <v>325</v>
      </c>
      <c r="O58" s="206"/>
      <c r="P58" s="206"/>
      <c r="Q58" s="276" t="s">
        <v>326</v>
      </c>
      <c r="R58" s="277"/>
      <c r="S58" s="207"/>
      <c r="T58" s="207"/>
      <c r="U58" s="207" t="s">
        <v>29</v>
      </c>
      <c r="V58" s="237"/>
      <c r="W58" s="237"/>
      <c r="X58" s="207" t="s">
        <v>319</v>
      </c>
      <c r="Y58" s="206"/>
      <c r="Z58" s="206"/>
      <c r="AA58" s="239" t="s">
        <v>320</v>
      </c>
      <c r="AB58" s="240"/>
      <c r="AC58" s="240"/>
      <c r="AD58" s="240"/>
      <c r="AE58" s="240"/>
      <c r="AF58" s="240"/>
      <c r="AG58" s="240"/>
      <c r="AH58" s="240"/>
      <c r="AI58" s="240"/>
      <c r="AJ58" s="240"/>
    </row>
    <row r="59" customHeight="1" spans="1:36">
      <c r="A59" s="8" t="s">
        <v>327</v>
      </c>
      <c r="B59" s="6" t="s">
        <v>31</v>
      </c>
      <c r="C59" s="5" t="s">
        <v>61</v>
      </c>
      <c r="D59" s="5" t="s">
        <v>28</v>
      </c>
      <c r="E59" s="8" t="s">
        <v>115</v>
      </c>
      <c r="F59" s="10"/>
      <c r="G59" s="20"/>
      <c r="H59" s="20"/>
      <c r="I59" s="7"/>
      <c r="J59" s="7"/>
      <c r="K59" s="5" t="s">
        <v>328</v>
      </c>
      <c r="L59" s="7"/>
      <c r="M59" s="5"/>
      <c r="N59" s="5"/>
      <c r="O59" s="5"/>
      <c r="P59" s="5"/>
      <c r="Q59" s="5"/>
      <c r="S59" s="7"/>
      <c r="T59" s="7"/>
      <c r="U59" s="7"/>
      <c r="V59" s="19"/>
      <c r="W59" s="19"/>
      <c r="X59" s="8"/>
      <c r="Y59" s="7"/>
      <c r="Z59" s="7"/>
      <c r="AA59" s="280"/>
      <c r="AB59" s="7"/>
      <c r="AC59" s="7"/>
      <c r="AD59" s="7"/>
      <c r="AE59" s="7"/>
      <c r="AF59" s="7"/>
      <c r="AG59" s="7"/>
      <c r="AH59" s="7"/>
      <c r="AI59" s="7"/>
      <c r="AJ59" s="7"/>
    </row>
    <row r="60" customHeight="1" spans="1:36">
      <c r="A60" s="8" t="s">
        <v>329</v>
      </c>
      <c r="B60" s="6" t="s">
        <v>34</v>
      </c>
      <c r="C60" s="5" t="s">
        <v>61</v>
      </c>
      <c r="D60" s="7" t="s">
        <v>28</v>
      </c>
      <c r="E60" s="8" t="s">
        <v>36</v>
      </c>
      <c r="F60" s="10" t="s">
        <v>299</v>
      </c>
      <c r="G60" s="20"/>
      <c r="H60" s="20"/>
      <c r="I60" s="7"/>
      <c r="J60" s="7"/>
      <c r="K60" s="7"/>
      <c r="L60" s="7"/>
      <c r="M60" s="5"/>
      <c r="N60" s="5"/>
      <c r="O60" s="5"/>
      <c r="P60" s="260" t="s">
        <v>330</v>
      </c>
      <c r="Q60" s="5"/>
      <c r="S60" s="7"/>
      <c r="T60" s="7"/>
      <c r="U60" s="7"/>
      <c r="V60" s="19"/>
      <c r="W60" s="19"/>
      <c r="X60" s="8" t="s">
        <v>319</v>
      </c>
      <c r="Y60" s="7"/>
      <c r="Z60" s="7"/>
      <c r="AA60" s="280"/>
      <c r="AB60" s="7"/>
      <c r="AC60" s="7"/>
      <c r="AD60" s="7"/>
      <c r="AE60" s="7"/>
      <c r="AF60" s="7"/>
      <c r="AG60" s="7"/>
      <c r="AH60" s="7"/>
      <c r="AI60" s="7"/>
      <c r="AJ60" s="7"/>
    </row>
    <row r="61" customHeight="1" spans="1:36">
      <c r="A61" s="8" t="s">
        <v>331</v>
      </c>
      <c r="B61" s="6"/>
      <c r="C61" s="5"/>
      <c r="D61" s="6" t="s">
        <v>28</v>
      </c>
      <c r="E61" s="8"/>
      <c r="F61" s="208" t="s">
        <v>37</v>
      </c>
      <c r="G61" s="10" t="s">
        <v>332</v>
      </c>
      <c r="H61" s="10"/>
      <c r="I61" s="7"/>
      <c r="J61" s="7"/>
      <c r="K61" s="7"/>
      <c r="L61" s="7"/>
      <c r="M61" s="5"/>
      <c r="N61" s="5"/>
      <c r="O61" s="5"/>
      <c r="P61" s="260" t="s">
        <v>333</v>
      </c>
      <c r="Q61" s="260" t="s">
        <v>334</v>
      </c>
      <c r="R61" s="7"/>
      <c r="S61" s="7"/>
      <c r="T61" s="5"/>
      <c r="U61" s="7"/>
      <c r="V61" s="19"/>
      <c r="W61" s="19"/>
      <c r="X61" s="12"/>
      <c r="Y61" s="7"/>
      <c r="Z61" s="7"/>
      <c r="AA61" s="280"/>
      <c r="AB61" s="7"/>
      <c r="AC61" s="7"/>
      <c r="AD61" s="7"/>
      <c r="AE61" s="7"/>
      <c r="AF61" s="7"/>
      <c r="AG61" s="7"/>
      <c r="AH61" s="7"/>
      <c r="AI61" s="7"/>
      <c r="AJ61" s="7"/>
    </row>
    <row r="62" customHeight="1" spans="1:36">
      <c r="A62" s="8" t="s">
        <v>335</v>
      </c>
      <c r="B62" s="6" t="s">
        <v>34</v>
      </c>
      <c r="C62" s="5" t="s">
        <v>336</v>
      </c>
      <c r="D62" s="6" t="s">
        <v>98</v>
      </c>
      <c r="E62" s="8" t="s">
        <v>54</v>
      </c>
      <c r="F62" s="10" t="s">
        <v>37</v>
      </c>
      <c r="G62" s="10"/>
      <c r="H62" s="10">
        <v>3</v>
      </c>
      <c r="I62" s="7"/>
      <c r="J62" s="7"/>
      <c r="K62" s="7"/>
      <c r="L62" s="7"/>
      <c r="M62" s="5"/>
      <c r="N62" s="5"/>
      <c r="O62" s="5"/>
      <c r="P62" s="260" t="s">
        <v>337</v>
      </c>
      <c r="Q62" s="5"/>
      <c r="R62" s="7"/>
      <c r="S62" s="7"/>
      <c r="T62" s="5" t="s">
        <v>338</v>
      </c>
      <c r="U62" s="7"/>
      <c r="V62" s="19"/>
      <c r="W62" s="19"/>
      <c r="X62" s="8" t="s">
        <v>319</v>
      </c>
      <c r="Y62" s="7"/>
      <c r="Z62" s="7"/>
      <c r="AA62" s="280"/>
      <c r="AB62" s="7"/>
      <c r="AC62" s="7"/>
      <c r="AD62" s="7"/>
      <c r="AE62" s="7"/>
      <c r="AF62" s="7"/>
      <c r="AG62" s="7"/>
      <c r="AH62" s="7"/>
      <c r="AI62" s="7"/>
      <c r="AJ62" s="7"/>
    </row>
    <row r="63" customHeight="1" spans="1:36">
      <c r="A63" s="3" t="s">
        <v>339</v>
      </c>
      <c r="B63" s="6" t="s">
        <v>34</v>
      </c>
      <c r="C63" s="2" t="s">
        <v>35</v>
      </c>
      <c r="D63" s="2" t="s">
        <v>98</v>
      </c>
      <c r="E63" s="3" t="s">
        <v>115</v>
      </c>
      <c r="F63" s="10" t="s">
        <v>37</v>
      </c>
      <c r="G63" s="13"/>
      <c r="H63" s="13">
        <v>1</v>
      </c>
      <c r="I63" s="3" t="s">
        <v>340</v>
      </c>
      <c r="J63" s="3"/>
      <c r="K63" s="2" t="s">
        <v>341</v>
      </c>
      <c r="L63" s="29"/>
      <c r="M63" s="261"/>
      <c r="N63" s="261"/>
      <c r="O63" s="261"/>
      <c r="P63" s="262" t="s">
        <v>342</v>
      </c>
      <c r="Q63" s="262" t="s">
        <v>342</v>
      </c>
      <c r="R63" s="3"/>
      <c r="S63" s="2"/>
      <c r="T63" s="2" t="s">
        <v>343</v>
      </c>
      <c r="U63" s="2"/>
      <c r="V63" s="265"/>
      <c r="W63" s="23" t="s">
        <v>344</v>
      </c>
      <c r="X63" s="28" t="s">
        <v>319</v>
      </c>
      <c r="Y63" s="3"/>
      <c r="Z63" s="3"/>
      <c r="AA63" s="278"/>
      <c r="AB63" s="29"/>
      <c r="AC63" s="29"/>
      <c r="AD63" s="29"/>
      <c r="AE63" s="29"/>
      <c r="AF63" s="29"/>
      <c r="AG63" s="29"/>
      <c r="AH63" s="29"/>
      <c r="AI63" s="29"/>
      <c r="AJ63" s="29"/>
    </row>
    <row r="64" customHeight="1" spans="1:36">
      <c r="A64" s="8" t="s">
        <v>345</v>
      </c>
      <c r="B64" s="6" t="s">
        <v>34</v>
      </c>
      <c r="C64" s="5" t="s">
        <v>61</v>
      </c>
      <c r="D64" s="5" t="s">
        <v>98</v>
      </c>
      <c r="E64" s="8" t="s">
        <v>54</v>
      </c>
      <c r="F64" s="10" t="s">
        <v>37</v>
      </c>
      <c r="G64" s="10"/>
      <c r="H64" s="10">
        <v>4</v>
      </c>
      <c r="I64" s="5" t="s">
        <v>346</v>
      </c>
      <c r="J64" s="5"/>
      <c r="K64" s="6" t="s">
        <v>347</v>
      </c>
      <c r="L64" s="7"/>
      <c r="M64" s="248"/>
      <c r="N64" s="248" t="s">
        <v>348</v>
      </c>
      <c r="O64" s="248"/>
      <c r="P64" s="263" t="s">
        <v>349</v>
      </c>
      <c r="Q64" s="263" t="s">
        <v>349</v>
      </c>
      <c r="S64" s="5" t="s">
        <v>350</v>
      </c>
      <c r="T64" s="5" t="s">
        <v>351</v>
      </c>
      <c r="U64" s="7"/>
      <c r="V64" s="19"/>
      <c r="W64" s="19"/>
      <c r="X64" s="8" t="s">
        <v>319</v>
      </c>
      <c r="Y64" s="7"/>
      <c r="Z64" s="7"/>
      <c r="AA64" s="280"/>
      <c r="AB64" s="7"/>
      <c r="AC64" s="7"/>
      <c r="AD64" s="7"/>
      <c r="AE64" s="7"/>
      <c r="AF64" s="7"/>
      <c r="AG64" s="7"/>
      <c r="AH64" s="7"/>
      <c r="AI64" s="7"/>
      <c r="AJ64" s="7"/>
    </row>
    <row r="65" customHeight="1" spans="1:36">
      <c r="A65" s="293" t="s">
        <v>352</v>
      </c>
      <c r="B65" s="207" t="s">
        <v>34</v>
      </c>
      <c r="C65" s="207"/>
      <c r="D65" s="207" t="s">
        <v>28</v>
      </c>
      <c r="E65" s="206"/>
      <c r="F65" s="10" t="s">
        <v>37</v>
      </c>
      <c r="G65" s="237"/>
      <c r="H65" s="237"/>
      <c r="I65" s="206" t="s">
        <v>353</v>
      </c>
      <c r="J65" s="206"/>
      <c r="K65" s="207" t="s">
        <v>354</v>
      </c>
      <c r="L65" s="240"/>
      <c r="M65" s="206"/>
      <c r="N65" s="206"/>
      <c r="O65" s="206"/>
      <c r="P65" s="276" t="s">
        <v>355</v>
      </c>
      <c r="Q65" s="276" t="s">
        <v>356</v>
      </c>
      <c r="R65" s="206"/>
      <c r="S65" s="207"/>
      <c r="T65" s="207"/>
      <c r="U65" s="207"/>
      <c r="V65" s="237"/>
      <c r="W65" s="237"/>
      <c r="X65" s="317"/>
      <c r="Y65" s="206"/>
      <c r="Z65" s="206"/>
      <c r="AA65" s="239"/>
      <c r="AB65" s="240"/>
      <c r="AC65" s="240"/>
      <c r="AD65" s="240"/>
      <c r="AE65" s="240"/>
      <c r="AF65" s="240"/>
      <c r="AG65" s="240"/>
      <c r="AH65" s="240"/>
      <c r="AI65" s="240"/>
      <c r="AJ65" s="240"/>
    </row>
    <row r="66" customHeight="1" spans="1:36">
      <c r="A66" s="8" t="s">
        <v>357</v>
      </c>
      <c r="B66" s="6" t="s">
        <v>34</v>
      </c>
      <c r="C66" s="6" t="s">
        <v>35</v>
      </c>
      <c r="D66" s="6" t="s">
        <v>28</v>
      </c>
      <c r="E66" s="8" t="s">
        <v>190</v>
      </c>
      <c r="F66" s="10" t="s">
        <v>37</v>
      </c>
      <c r="G66" s="20"/>
      <c r="H66" s="20"/>
      <c r="I66" s="8" t="s">
        <v>358</v>
      </c>
      <c r="J66" s="8"/>
      <c r="K66" s="6" t="s">
        <v>359</v>
      </c>
      <c r="L66" s="7"/>
      <c r="M66" s="8"/>
      <c r="N66" s="8"/>
      <c r="O66" s="8"/>
      <c r="P66" s="242" t="s">
        <v>360</v>
      </c>
      <c r="Q66" s="242" t="s">
        <v>360</v>
      </c>
      <c r="R66" s="8"/>
      <c r="S66" s="6"/>
      <c r="T66" s="6"/>
      <c r="U66" s="6" t="s">
        <v>29</v>
      </c>
      <c r="V66" s="25">
        <v>45677</v>
      </c>
      <c r="W66" s="5" t="s">
        <v>361</v>
      </c>
      <c r="X66" s="28" t="s">
        <v>319</v>
      </c>
      <c r="Y66" s="8"/>
      <c r="Z66" s="8"/>
      <c r="AA66" s="241" t="s">
        <v>196</v>
      </c>
      <c r="AB66" s="7"/>
      <c r="AC66" s="7"/>
      <c r="AD66" s="7"/>
      <c r="AE66" s="7"/>
      <c r="AF66" s="7"/>
      <c r="AG66" s="7"/>
      <c r="AH66" s="7"/>
      <c r="AI66" s="7"/>
      <c r="AJ66" s="7"/>
    </row>
    <row r="67" customHeight="1" spans="1:36">
      <c r="A67" s="8" t="s">
        <v>362</v>
      </c>
      <c r="B67" s="6" t="s">
        <v>34</v>
      </c>
      <c r="C67" s="6" t="s">
        <v>61</v>
      </c>
      <c r="D67" s="6" t="s">
        <v>28</v>
      </c>
      <c r="E67" s="8" t="s">
        <v>54</v>
      </c>
      <c r="F67" s="10" t="s">
        <v>37</v>
      </c>
      <c r="G67" s="20"/>
      <c r="H67" s="20"/>
      <c r="I67" s="8" t="s">
        <v>362</v>
      </c>
      <c r="J67" s="8"/>
      <c r="K67" s="6" t="s">
        <v>363</v>
      </c>
      <c r="L67" s="7"/>
      <c r="M67" s="8"/>
      <c r="N67" s="8"/>
      <c r="O67" s="8"/>
      <c r="P67" s="242" t="s">
        <v>364</v>
      </c>
      <c r="Q67" s="242" t="s">
        <v>364</v>
      </c>
      <c r="R67" s="8"/>
      <c r="S67" s="6"/>
      <c r="T67" s="6"/>
      <c r="U67" s="6"/>
      <c r="V67" s="20">
        <v>45677</v>
      </c>
      <c r="W67" s="2" t="s">
        <v>365</v>
      </c>
      <c r="X67" s="12"/>
      <c r="Y67" s="8"/>
      <c r="Z67" s="8"/>
      <c r="AA67" s="241"/>
      <c r="AB67" s="7"/>
      <c r="AC67" s="7"/>
      <c r="AD67" s="7"/>
      <c r="AE67" s="7"/>
      <c r="AF67" s="7"/>
      <c r="AG67" s="7"/>
      <c r="AH67" s="7"/>
      <c r="AI67" s="7"/>
      <c r="AJ67" s="7"/>
    </row>
    <row r="68" customHeight="1" spans="1:36">
      <c r="A68" s="242" t="s">
        <v>366</v>
      </c>
      <c r="B68" s="6" t="s">
        <v>34</v>
      </c>
      <c r="C68" s="6" t="s">
        <v>35</v>
      </c>
      <c r="D68" s="6" t="s">
        <v>28</v>
      </c>
      <c r="E68" s="206" t="s">
        <v>367</v>
      </c>
      <c r="F68" s="10" t="s">
        <v>37</v>
      </c>
      <c r="G68" s="10" t="s">
        <v>368</v>
      </c>
      <c r="H68" s="20"/>
      <c r="I68" s="306" t="s">
        <v>369</v>
      </c>
      <c r="J68" s="306" t="s">
        <v>370</v>
      </c>
      <c r="K68" s="150" t="s">
        <v>371</v>
      </c>
      <c r="L68" s="7"/>
      <c r="M68" s="8" t="s">
        <v>372</v>
      </c>
      <c r="N68" s="8"/>
      <c r="O68" s="8"/>
      <c r="P68" s="8"/>
      <c r="Q68" s="8"/>
      <c r="R68" s="242" t="s">
        <v>373</v>
      </c>
      <c r="S68" s="6"/>
      <c r="T68" s="6"/>
      <c r="U68" s="6"/>
      <c r="V68" s="19"/>
      <c r="W68" s="19"/>
      <c r="X68" s="24"/>
      <c r="Y68" s="8"/>
      <c r="Z68" s="8"/>
      <c r="AA68" s="241"/>
      <c r="AB68" s="7"/>
      <c r="AC68" s="7"/>
      <c r="AD68" s="7"/>
      <c r="AE68" s="7"/>
      <c r="AF68" s="7"/>
      <c r="AG68" s="7"/>
      <c r="AH68" s="7"/>
      <c r="AI68" s="7"/>
      <c r="AJ68" s="7"/>
    </row>
    <row r="69" customHeight="1" spans="1:36">
      <c r="A69" s="8" t="s">
        <v>374</v>
      </c>
      <c r="B69" s="6" t="s">
        <v>34</v>
      </c>
      <c r="C69" s="6" t="s">
        <v>35</v>
      </c>
      <c r="D69" s="6" t="s">
        <v>28</v>
      </c>
      <c r="E69" s="8" t="s">
        <v>298</v>
      </c>
      <c r="F69" s="10" t="s">
        <v>37</v>
      </c>
      <c r="G69" s="20"/>
      <c r="H69" s="20"/>
      <c r="I69" s="8"/>
      <c r="J69" s="8"/>
      <c r="K69" s="6" t="s">
        <v>375</v>
      </c>
      <c r="L69" s="7"/>
      <c r="M69" s="8"/>
      <c r="N69" s="8"/>
      <c r="O69" s="8"/>
      <c r="P69" s="242" t="s">
        <v>376</v>
      </c>
      <c r="Q69" s="242" t="s">
        <v>376</v>
      </c>
      <c r="R69" s="260" t="s">
        <v>377</v>
      </c>
      <c r="S69" s="6"/>
      <c r="T69" s="6"/>
      <c r="U69" s="6" t="s">
        <v>309</v>
      </c>
      <c r="V69" s="19"/>
      <c r="W69" s="19"/>
      <c r="X69" s="2" t="s">
        <v>42</v>
      </c>
      <c r="Y69" s="8"/>
      <c r="Z69" s="8"/>
      <c r="AA69" s="241" t="s">
        <v>196</v>
      </c>
      <c r="AB69" s="7"/>
      <c r="AC69" s="7"/>
      <c r="AD69" s="7"/>
      <c r="AE69" s="7"/>
      <c r="AF69" s="7"/>
      <c r="AG69" s="7"/>
      <c r="AH69" s="7"/>
      <c r="AI69" s="7"/>
      <c r="AJ69" s="7"/>
    </row>
    <row r="70" customHeight="1" spans="1:36">
      <c r="A70" s="83" t="s">
        <v>378</v>
      </c>
      <c r="B70" s="82" t="s">
        <v>34</v>
      </c>
      <c r="C70" s="82" t="s">
        <v>35</v>
      </c>
      <c r="D70" s="82" t="s">
        <v>28</v>
      </c>
      <c r="E70" s="83" t="s">
        <v>298</v>
      </c>
      <c r="F70" s="10" t="s">
        <v>37</v>
      </c>
      <c r="G70" s="19"/>
      <c r="H70" s="19"/>
      <c r="I70" s="83"/>
      <c r="J70" s="83"/>
      <c r="K70" s="82" t="s">
        <v>379</v>
      </c>
      <c r="L70" s="258"/>
      <c r="M70" s="83"/>
      <c r="N70" s="83"/>
      <c r="O70" s="83"/>
      <c r="P70" s="83"/>
      <c r="Q70" s="83"/>
      <c r="R70" s="259" t="s">
        <v>380</v>
      </c>
      <c r="S70" s="82"/>
      <c r="T70" s="82"/>
      <c r="U70" s="82" t="s">
        <v>381</v>
      </c>
      <c r="V70" s="19"/>
      <c r="W70" s="19"/>
      <c r="X70" s="17" t="s">
        <v>42</v>
      </c>
      <c r="Y70" s="83"/>
      <c r="Z70" s="83"/>
      <c r="AA70" s="292" t="s">
        <v>196</v>
      </c>
      <c r="AB70" s="258"/>
      <c r="AC70" s="258"/>
      <c r="AD70" s="258"/>
      <c r="AE70" s="258"/>
      <c r="AF70" s="258"/>
      <c r="AG70" s="258"/>
      <c r="AH70" s="258"/>
      <c r="AI70" s="258"/>
      <c r="AJ70" s="258"/>
    </row>
    <row r="71" customHeight="1" spans="1:36">
      <c r="A71" s="8" t="s">
        <v>382</v>
      </c>
      <c r="B71" s="6"/>
      <c r="C71" s="6"/>
      <c r="D71" s="6"/>
      <c r="E71" s="206" t="s">
        <v>367</v>
      </c>
      <c r="F71" s="10" t="s">
        <v>37</v>
      </c>
      <c r="G71" s="10" t="s">
        <v>383</v>
      </c>
      <c r="H71" s="20"/>
      <c r="I71" s="8"/>
      <c r="J71" s="8"/>
      <c r="K71" s="6" t="s">
        <v>384</v>
      </c>
      <c r="L71" s="7"/>
      <c r="M71" s="8"/>
      <c r="N71" s="8"/>
      <c r="O71" s="8"/>
      <c r="P71" s="8"/>
      <c r="Q71" s="242" t="s">
        <v>385</v>
      </c>
      <c r="R71" s="8"/>
      <c r="S71" s="6"/>
      <c r="T71" s="6"/>
      <c r="U71" s="6"/>
      <c r="V71" s="19"/>
      <c r="W71" s="19"/>
      <c r="X71" s="24"/>
      <c r="Y71" s="8"/>
      <c r="Z71" s="8"/>
      <c r="AA71" s="241"/>
      <c r="AB71" s="7"/>
      <c r="AC71" s="7"/>
      <c r="AD71" s="7"/>
      <c r="AE71" s="7"/>
      <c r="AF71" s="7"/>
      <c r="AG71" s="7"/>
      <c r="AH71" s="7"/>
      <c r="AI71" s="7"/>
      <c r="AJ71" s="7"/>
    </row>
    <row r="72" customHeight="1" spans="1:36">
      <c r="A72" s="294" t="s">
        <v>386</v>
      </c>
      <c r="B72" s="295" t="s">
        <v>31</v>
      </c>
      <c r="C72" s="295" t="s">
        <v>61</v>
      </c>
      <c r="D72" s="295" t="s">
        <v>98</v>
      </c>
      <c r="E72" s="294" t="s">
        <v>115</v>
      </c>
      <c r="F72" s="296" t="s">
        <v>37</v>
      </c>
      <c r="G72" s="297"/>
      <c r="H72" s="297"/>
      <c r="I72" s="294"/>
      <c r="J72" s="294"/>
      <c r="K72" s="295"/>
      <c r="L72" s="307"/>
      <c r="M72" s="294"/>
      <c r="N72" s="294"/>
      <c r="O72" s="294"/>
      <c r="P72" s="308" t="s">
        <v>387</v>
      </c>
      <c r="Q72" s="294"/>
      <c r="R72" s="294"/>
      <c r="S72" s="295"/>
      <c r="T72" s="295"/>
      <c r="U72" s="295"/>
      <c r="V72" s="297"/>
      <c r="W72" s="297"/>
      <c r="X72" s="318"/>
      <c r="Y72" s="294"/>
      <c r="Z72" s="294"/>
      <c r="AA72" s="333"/>
      <c r="AB72" s="307"/>
      <c r="AC72" s="307"/>
      <c r="AD72" s="307"/>
      <c r="AE72" s="307"/>
      <c r="AF72" s="307"/>
      <c r="AG72" s="307"/>
      <c r="AH72" s="307"/>
      <c r="AI72" s="307"/>
      <c r="AJ72" s="307"/>
    </row>
    <row r="73" customHeight="1" spans="1:36">
      <c r="A73" s="8" t="s">
        <v>388</v>
      </c>
      <c r="B73" s="6" t="s">
        <v>34</v>
      </c>
      <c r="C73" s="6"/>
      <c r="D73" s="6"/>
      <c r="E73" s="206" t="s">
        <v>367</v>
      </c>
      <c r="F73" s="296" t="s">
        <v>37</v>
      </c>
      <c r="G73" s="298"/>
      <c r="H73" s="298"/>
      <c r="I73" s="298" t="s">
        <v>389</v>
      </c>
      <c r="J73" s="298"/>
      <c r="K73" s="6" t="s">
        <v>390</v>
      </c>
      <c r="L73" s="7"/>
      <c r="M73" s="8"/>
      <c r="N73" s="8"/>
      <c r="O73" s="8" t="s">
        <v>391</v>
      </c>
      <c r="P73" s="242" t="s">
        <v>392</v>
      </c>
      <c r="Q73" s="242" t="s">
        <v>393</v>
      </c>
      <c r="R73" s="242" t="s">
        <v>394</v>
      </c>
      <c r="S73" s="6"/>
      <c r="T73" s="6" t="s">
        <v>395</v>
      </c>
      <c r="U73" s="6"/>
      <c r="V73" s="19"/>
      <c r="W73" s="19"/>
      <c r="X73" s="24"/>
      <c r="Y73" s="8"/>
      <c r="Z73" s="8"/>
      <c r="AA73" s="241"/>
      <c r="AB73" s="7"/>
      <c r="AC73" s="7"/>
      <c r="AD73" s="7"/>
      <c r="AE73" s="7"/>
      <c r="AF73" s="7"/>
      <c r="AG73" s="7"/>
      <c r="AH73" s="7"/>
      <c r="AI73" s="7"/>
      <c r="AJ73" s="7"/>
    </row>
    <row r="74" customHeight="1" spans="1:36">
      <c r="A74" s="86" t="s">
        <v>396</v>
      </c>
      <c r="B74" s="84" t="s">
        <v>34</v>
      </c>
      <c r="C74" s="84" t="s">
        <v>35</v>
      </c>
      <c r="D74" s="84" t="s">
        <v>28</v>
      </c>
      <c r="E74" s="86" t="s">
        <v>247</v>
      </c>
      <c r="F74" s="299"/>
      <c r="G74" s="299"/>
      <c r="H74" s="299"/>
      <c r="I74" s="299"/>
      <c r="J74" s="299"/>
      <c r="K74" s="84" t="s">
        <v>397</v>
      </c>
      <c r="L74" s="299"/>
      <c r="M74" s="299"/>
      <c r="N74" s="299"/>
      <c r="O74" s="299"/>
      <c r="P74" s="299"/>
      <c r="Q74" s="299"/>
      <c r="R74" s="299"/>
      <c r="S74" s="84"/>
      <c r="T74" s="84" t="s">
        <v>398</v>
      </c>
      <c r="U74" s="84" t="s">
        <v>399</v>
      </c>
      <c r="V74" s="319"/>
      <c r="W74" s="319"/>
      <c r="X74" s="320" t="s">
        <v>42</v>
      </c>
      <c r="Y74" s="86"/>
      <c r="Z74" s="86"/>
      <c r="AA74" s="334" t="s">
        <v>196</v>
      </c>
      <c r="AB74" s="335"/>
      <c r="AC74" s="335"/>
      <c r="AD74" s="335"/>
      <c r="AE74" s="335"/>
      <c r="AF74" s="335"/>
      <c r="AG74" s="335"/>
      <c r="AH74" s="335"/>
      <c r="AI74" s="335"/>
      <c r="AJ74" s="335"/>
    </row>
    <row r="75" customHeight="1" spans="1:36">
      <c r="A75" s="8" t="s">
        <v>400</v>
      </c>
      <c r="B75" s="6" t="s">
        <v>34</v>
      </c>
      <c r="C75" s="6" t="s">
        <v>35</v>
      </c>
      <c r="D75" s="6" t="s">
        <v>28</v>
      </c>
      <c r="E75" s="8" t="s">
        <v>54</v>
      </c>
      <c r="F75" s="296" t="s">
        <v>37</v>
      </c>
      <c r="G75" s="20"/>
      <c r="H75" s="20"/>
      <c r="I75" s="8" t="s">
        <v>401</v>
      </c>
      <c r="J75" s="8"/>
      <c r="K75" s="6" t="s">
        <v>402</v>
      </c>
      <c r="L75" s="7"/>
      <c r="M75" s="8"/>
      <c r="N75" s="8"/>
      <c r="O75" s="8" t="s">
        <v>402</v>
      </c>
      <c r="P75" s="8"/>
      <c r="Q75" s="8"/>
      <c r="R75" s="8"/>
      <c r="S75" s="6"/>
      <c r="T75" s="6" t="s">
        <v>403</v>
      </c>
      <c r="U75" s="6" t="s">
        <v>404</v>
      </c>
      <c r="V75" s="19"/>
      <c r="W75" s="19"/>
      <c r="X75" s="321" t="s">
        <v>42</v>
      </c>
      <c r="Y75" s="8"/>
      <c r="Z75" s="8"/>
      <c r="AA75" s="241" t="s">
        <v>196</v>
      </c>
      <c r="AB75" s="7"/>
      <c r="AC75" s="7"/>
      <c r="AD75" s="7"/>
      <c r="AE75" s="7"/>
      <c r="AF75" s="7"/>
      <c r="AG75" s="7"/>
      <c r="AH75" s="7"/>
      <c r="AI75" s="7"/>
      <c r="AJ75" s="7"/>
    </row>
    <row r="76" customHeight="1" spans="1:36">
      <c r="A76" s="8" t="s">
        <v>405</v>
      </c>
      <c r="B76" s="6" t="s">
        <v>31</v>
      </c>
      <c r="C76" s="2" t="s">
        <v>61</v>
      </c>
      <c r="D76" s="6" t="s">
        <v>28</v>
      </c>
      <c r="E76" s="8" t="s">
        <v>115</v>
      </c>
      <c r="F76" s="296" t="s">
        <v>37</v>
      </c>
      <c r="G76" s="241" t="s">
        <v>406</v>
      </c>
      <c r="H76" s="20"/>
      <c r="I76" s="8"/>
      <c r="J76" s="8"/>
      <c r="K76" s="6"/>
      <c r="L76" s="7"/>
      <c r="M76" s="8"/>
      <c r="N76" s="8"/>
      <c r="O76" s="8"/>
      <c r="P76" s="242" t="s">
        <v>407</v>
      </c>
      <c r="Q76" s="242" t="s">
        <v>407</v>
      </c>
      <c r="S76" s="6"/>
      <c r="T76" s="2"/>
      <c r="U76" s="2"/>
      <c r="V76" s="19"/>
      <c r="W76" s="19"/>
      <c r="X76" s="2"/>
      <c r="Y76" s="20"/>
      <c r="Z76" s="2"/>
      <c r="AA76" s="241"/>
      <c r="AB76" s="7"/>
      <c r="AC76" s="7"/>
      <c r="AD76" s="7"/>
      <c r="AE76" s="7"/>
      <c r="AF76" s="7"/>
      <c r="AG76" s="7"/>
      <c r="AH76" s="7"/>
      <c r="AI76" s="7"/>
      <c r="AJ76" s="7"/>
    </row>
    <row r="77" customHeight="1" spans="1:36">
      <c r="A77" s="3" t="s">
        <v>408</v>
      </c>
      <c r="B77" s="6" t="s">
        <v>34</v>
      </c>
      <c r="C77" s="2" t="s">
        <v>189</v>
      </c>
      <c r="D77" s="6" t="s">
        <v>28</v>
      </c>
      <c r="E77" s="8" t="s">
        <v>409</v>
      </c>
      <c r="F77" s="296" t="s">
        <v>37</v>
      </c>
      <c r="G77" s="20"/>
      <c r="H77" s="20"/>
      <c r="I77" s="8"/>
      <c r="J77" s="8"/>
      <c r="K77" s="6" t="s">
        <v>410</v>
      </c>
      <c r="L77" s="7"/>
      <c r="M77" s="8"/>
      <c r="N77" s="8"/>
      <c r="O77" s="8"/>
      <c r="P77" s="242" t="s">
        <v>411</v>
      </c>
      <c r="Q77" s="242" t="s">
        <v>393</v>
      </c>
      <c r="S77" s="6"/>
      <c r="T77" s="2" t="s">
        <v>412</v>
      </c>
      <c r="U77" s="2" t="s">
        <v>413</v>
      </c>
      <c r="V77" s="19"/>
      <c r="W77" s="19"/>
      <c r="X77" s="2" t="s">
        <v>414</v>
      </c>
      <c r="Y77" s="20">
        <v>45311</v>
      </c>
      <c r="Z77" s="2" t="s">
        <v>141</v>
      </c>
      <c r="AA77" s="241" t="s">
        <v>415</v>
      </c>
      <c r="AB77" s="7"/>
      <c r="AC77" s="7"/>
      <c r="AD77" s="7"/>
      <c r="AE77" s="7"/>
      <c r="AF77" s="7"/>
      <c r="AG77" s="7"/>
      <c r="AH77" s="7"/>
      <c r="AI77" s="7"/>
      <c r="AJ77" s="7"/>
    </row>
    <row r="78" customHeight="1" spans="1:36">
      <c r="A78" s="8" t="s">
        <v>416</v>
      </c>
      <c r="B78" s="6" t="s">
        <v>147</v>
      </c>
      <c r="C78" s="6"/>
      <c r="D78" s="6"/>
      <c r="E78" s="206" t="s">
        <v>367</v>
      </c>
      <c r="F78" s="296" t="s">
        <v>37</v>
      </c>
      <c r="G78" s="241" t="s">
        <v>417</v>
      </c>
      <c r="H78" s="20"/>
      <c r="I78" s="8"/>
      <c r="J78" s="8"/>
      <c r="K78" s="6"/>
      <c r="L78" s="7"/>
      <c r="M78" s="8"/>
      <c r="N78" s="8"/>
      <c r="O78" s="8"/>
      <c r="P78" s="8"/>
      <c r="Q78" s="8"/>
      <c r="R78" s="8"/>
      <c r="S78" s="6"/>
      <c r="T78" s="6"/>
      <c r="U78" s="6"/>
      <c r="V78" s="19"/>
      <c r="W78" s="19"/>
      <c r="X78" s="24"/>
      <c r="Y78" s="8"/>
      <c r="Z78" s="8"/>
      <c r="AA78" s="241"/>
      <c r="AB78" s="7"/>
      <c r="AC78" s="7"/>
      <c r="AD78" s="7"/>
      <c r="AE78" s="7"/>
      <c r="AF78" s="7"/>
      <c r="AG78" s="7"/>
      <c r="AH78" s="7"/>
      <c r="AI78" s="7"/>
      <c r="AJ78" s="7"/>
    </row>
    <row r="79" customHeight="1" spans="1:36">
      <c r="A79" s="8" t="s">
        <v>418</v>
      </c>
      <c r="B79" s="6" t="s">
        <v>34</v>
      </c>
      <c r="C79" s="6" t="s">
        <v>189</v>
      </c>
      <c r="D79" s="6" t="s">
        <v>28</v>
      </c>
      <c r="E79" s="8" t="s">
        <v>247</v>
      </c>
      <c r="F79" s="296" t="s">
        <v>37</v>
      </c>
      <c r="G79" s="299"/>
      <c r="H79" s="299"/>
      <c r="I79" s="299"/>
      <c r="J79" s="299"/>
      <c r="K79" s="6" t="s">
        <v>419</v>
      </c>
      <c r="L79" s="299"/>
      <c r="M79" s="299"/>
      <c r="N79" s="299"/>
      <c r="O79" s="299"/>
      <c r="P79" s="299"/>
      <c r="Q79" s="299"/>
      <c r="R79" s="8"/>
      <c r="S79" s="6" t="s">
        <v>420</v>
      </c>
      <c r="T79" s="6"/>
      <c r="U79" s="6" t="s">
        <v>29</v>
      </c>
      <c r="V79" s="19"/>
      <c r="W79" s="19"/>
      <c r="X79" s="24"/>
      <c r="Y79" s="8"/>
      <c r="Z79" s="8"/>
      <c r="AA79" s="241" t="s">
        <v>196</v>
      </c>
      <c r="AB79" s="7"/>
      <c r="AC79" s="7"/>
      <c r="AD79" s="7"/>
      <c r="AE79" s="7"/>
      <c r="AF79" s="7"/>
      <c r="AG79" s="7"/>
      <c r="AH79" s="7"/>
      <c r="AI79" s="7"/>
      <c r="AJ79" s="7"/>
    </row>
    <row r="80" customHeight="1" spans="1:36">
      <c r="A80" s="8" t="s">
        <v>421</v>
      </c>
      <c r="B80" s="6" t="s">
        <v>34</v>
      </c>
      <c r="C80" s="5" t="s">
        <v>35</v>
      </c>
      <c r="D80" s="5" t="s">
        <v>28</v>
      </c>
      <c r="E80" s="8" t="s">
        <v>367</v>
      </c>
      <c r="F80" s="296" t="s">
        <v>37</v>
      </c>
      <c r="G80" s="10"/>
      <c r="H80" s="10"/>
      <c r="I80" s="5"/>
      <c r="J80" s="5"/>
      <c r="K80" s="5" t="s">
        <v>422</v>
      </c>
      <c r="L80" s="7"/>
      <c r="M80" s="5"/>
      <c r="N80" s="7"/>
      <c r="O80" s="7"/>
      <c r="P80" s="7"/>
      <c r="Q80" s="7"/>
      <c r="R80" s="260" t="s">
        <v>423</v>
      </c>
      <c r="S80" s="5" t="s">
        <v>424</v>
      </c>
      <c r="T80" s="5"/>
      <c r="U80" s="7"/>
      <c r="V80" s="19"/>
      <c r="W80" s="19"/>
      <c r="X80" s="12"/>
      <c r="Y80" s="288"/>
      <c r="Z80" s="7"/>
      <c r="AA80" s="280"/>
      <c r="AB80" s="7"/>
      <c r="AC80" s="7"/>
      <c r="AD80" s="7"/>
      <c r="AE80" s="7"/>
      <c r="AF80" s="7"/>
      <c r="AG80" s="7"/>
      <c r="AH80" s="7"/>
      <c r="AI80" s="7"/>
      <c r="AJ80" s="7"/>
    </row>
    <row r="81" customHeight="1" spans="1:36">
      <c r="A81" s="8" t="s">
        <v>425</v>
      </c>
      <c r="B81" s="6" t="s">
        <v>60</v>
      </c>
      <c r="C81" s="5" t="s">
        <v>61</v>
      </c>
      <c r="D81" s="5" t="s">
        <v>28</v>
      </c>
      <c r="E81" s="8" t="s">
        <v>367</v>
      </c>
      <c r="F81" s="296" t="s">
        <v>37</v>
      </c>
      <c r="G81" s="10" t="s">
        <v>426</v>
      </c>
      <c r="H81" s="10">
        <v>3</v>
      </c>
      <c r="I81" s="5" t="s">
        <v>427</v>
      </c>
      <c r="J81" s="5"/>
      <c r="K81" s="5" t="s">
        <v>428</v>
      </c>
      <c r="L81" s="7"/>
      <c r="M81" s="5" t="s">
        <v>429</v>
      </c>
      <c r="N81" s="7"/>
      <c r="O81" s="7"/>
      <c r="P81" s="7"/>
      <c r="Q81" s="7"/>
      <c r="R81" s="7"/>
      <c r="S81" s="7"/>
      <c r="T81" s="5" t="s">
        <v>430</v>
      </c>
      <c r="U81" s="7"/>
      <c r="V81" s="19"/>
      <c r="W81" s="19"/>
      <c r="X81" s="12"/>
      <c r="Y81" s="288">
        <v>45484</v>
      </c>
      <c r="Z81" s="7"/>
      <c r="AA81" s="280"/>
      <c r="AB81" s="7"/>
      <c r="AC81" s="7"/>
      <c r="AD81" s="7"/>
      <c r="AE81" s="7"/>
      <c r="AF81" s="7"/>
      <c r="AG81" s="7"/>
      <c r="AH81" s="7"/>
      <c r="AI81" s="7"/>
      <c r="AJ81" s="7"/>
    </row>
    <row r="82" customHeight="1" spans="1:36">
      <c r="A82" s="8" t="s">
        <v>431</v>
      </c>
      <c r="B82" s="6" t="s">
        <v>34</v>
      </c>
      <c r="C82" s="6" t="s">
        <v>35</v>
      </c>
      <c r="D82" s="6" t="s">
        <v>28</v>
      </c>
      <c r="E82" s="8" t="s">
        <v>367</v>
      </c>
      <c r="F82" s="296" t="s">
        <v>37</v>
      </c>
      <c r="G82" s="20"/>
      <c r="H82" s="20"/>
      <c r="I82" s="8"/>
      <c r="J82" s="8"/>
      <c r="K82" s="6" t="s">
        <v>432</v>
      </c>
      <c r="L82" s="7"/>
      <c r="M82" s="8"/>
      <c r="N82" s="8"/>
      <c r="O82" s="8"/>
      <c r="P82" s="242" t="s">
        <v>433</v>
      </c>
      <c r="Q82" s="242" t="s">
        <v>433</v>
      </c>
      <c r="R82" s="8"/>
      <c r="S82" s="6"/>
      <c r="T82" s="6"/>
      <c r="U82" s="6" t="s">
        <v>29</v>
      </c>
      <c r="V82" s="19"/>
      <c r="W82" s="19"/>
      <c r="X82" s="24"/>
      <c r="Y82" s="8"/>
      <c r="Z82" s="8"/>
      <c r="AA82" s="241" t="s">
        <v>434</v>
      </c>
      <c r="AB82" s="7"/>
      <c r="AC82" s="7"/>
      <c r="AD82" s="7"/>
      <c r="AE82" s="7"/>
      <c r="AF82" s="7"/>
      <c r="AG82" s="7"/>
      <c r="AH82" s="7"/>
      <c r="AI82" s="7"/>
      <c r="AJ82" s="7"/>
    </row>
    <row r="83" customHeight="1" spans="1:36">
      <c r="A83" s="8" t="s">
        <v>435</v>
      </c>
      <c r="B83" s="6" t="s">
        <v>34</v>
      </c>
      <c r="C83" s="6" t="s">
        <v>35</v>
      </c>
      <c r="D83" s="6" t="s">
        <v>28</v>
      </c>
      <c r="E83" s="8" t="s">
        <v>54</v>
      </c>
      <c r="F83" s="298"/>
      <c r="G83" s="298"/>
      <c r="H83" s="298"/>
      <c r="I83" s="298" t="s">
        <v>436</v>
      </c>
      <c r="J83" s="298"/>
      <c r="K83" s="6" t="s">
        <v>437</v>
      </c>
      <c r="L83" s="298"/>
      <c r="M83" s="298"/>
      <c r="N83" s="309" t="s">
        <v>438</v>
      </c>
      <c r="O83" s="298"/>
      <c r="P83" s="242" t="s">
        <v>439</v>
      </c>
      <c r="Q83" s="242" t="s">
        <v>439</v>
      </c>
      <c r="S83" s="6"/>
      <c r="T83" s="6" t="s">
        <v>440</v>
      </c>
      <c r="U83" s="6" t="s">
        <v>29</v>
      </c>
      <c r="V83" s="19"/>
      <c r="W83" s="19"/>
      <c r="X83" s="321" t="s">
        <v>42</v>
      </c>
      <c r="Y83" s="8"/>
      <c r="Z83" s="8"/>
      <c r="AA83" s="241" t="s">
        <v>196</v>
      </c>
      <c r="AB83" s="7"/>
      <c r="AC83" s="7"/>
      <c r="AD83" s="7"/>
      <c r="AE83" s="7"/>
      <c r="AF83" s="7"/>
      <c r="AG83" s="7"/>
      <c r="AH83" s="7"/>
      <c r="AI83" s="7"/>
      <c r="AJ83" s="7"/>
    </row>
    <row r="84" customHeight="1" spans="1:36">
      <c r="A84" s="83" t="s">
        <v>441</v>
      </c>
      <c r="B84" s="82" t="s">
        <v>442</v>
      </c>
      <c r="C84" s="82" t="s">
        <v>189</v>
      </c>
      <c r="D84" s="82"/>
      <c r="E84" s="83" t="s">
        <v>367</v>
      </c>
      <c r="F84" s="236" t="s">
        <v>37</v>
      </c>
      <c r="G84" s="236"/>
      <c r="H84" s="236"/>
      <c r="I84" s="82"/>
      <c r="J84" s="82"/>
      <c r="K84" s="310" t="s">
        <v>443</v>
      </c>
      <c r="L84" s="258"/>
      <c r="M84" s="311" t="s">
        <v>444</v>
      </c>
      <c r="N84" s="258"/>
      <c r="O84" s="258"/>
      <c r="P84" s="312" t="s">
        <v>445</v>
      </c>
      <c r="Q84" s="312" t="s">
        <v>446</v>
      </c>
      <c r="R84" s="258"/>
      <c r="S84" s="82" t="s">
        <v>447</v>
      </c>
      <c r="T84" s="83"/>
      <c r="U84" s="83"/>
      <c r="V84" s="19"/>
      <c r="W84" s="19"/>
      <c r="X84" s="322"/>
      <c r="Y84" s="83"/>
      <c r="Z84" s="83"/>
      <c r="AA84" s="292"/>
      <c r="AB84" s="258"/>
      <c r="AC84" s="258"/>
      <c r="AD84" s="258"/>
      <c r="AE84" s="258"/>
      <c r="AF84" s="258"/>
      <c r="AG84" s="258"/>
      <c r="AH84" s="258"/>
      <c r="AI84" s="258"/>
      <c r="AJ84" s="258"/>
    </row>
    <row r="85" customHeight="1" spans="1:36">
      <c r="A85" s="8" t="s">
        <v>448</v>
      </c>
      <c r="B85" s="6" t="s">
        <v>34</v>
      </c>
      <c r="C85" s="6" t="s">
        <v>61</v>
      </c>
      <c r="D85" s="6" t="s">
        <v>98</v>
      </c>
      <c r="E85" s="8" t="s">
        <v>449</v>
      </c>
      <c r="F85" s="10"/>
      <c r="G85" s="10"/>
      <c r="H85" s="10">
        <v>3</v>
      </c>
      <c r="I85" s="6"/>
      <c r="J85" s="6"/>
      <c r="K85" s="238"/>
      <c r="L85" s="7"/>
      <c r="S85" s="6"/>
      <c r="T85" s="8" t="s">
        <v>450</v>
      </c>
      <c r="U85" s="8"/>
      <c r="V85" s="19"/>
      <c r="W85" s="19"/>
      <c r="X85" s="6" t="s">
        <v>451</v>
      </c>
      <c r="Y85" s="8"/>
      <c r="Z85" s="8"/>
      <c r="AA85" s="241"/>
      <c r="AB85" s="7"/>
      <c r="AC85" s="7"/>
      <c r="AD85" s="7"/>
      <c r="AE85" s="7"/>
      <c r="AF85" s="7"/>
      <c r="AG85" s="7"/>
      <c r="AH85" s="7"/>
      <c r="AI85" s="7"/>
      <c r="AJ85" s="7"/>
    </row>
    <row r="86" customHeight="1" spans="1:36">
      <c r="A86" s="294" t="s">
        <v>452</v>
      </c>
      <c r="B86" s="295" t="s">
        <v>34</v>
      </c>
      <c r="C86" s="295" t="s">
        <v>189</v>
      </c>
      <c r="D86" s="295"/>
      <c r="E86" s="294" t="s">
        <v>367</v>
      </c>
      <c r="F86" s="296" t="s">
        <v>37</v>
      </c>
      <c r="G86" s="296" t="s">
        <v>453</v>
      </c>
      <c r="H86" s="296"/>
      <c r="I86" s="294" t="s">
        <v>454</v>
      </c>
      <c r="J86" s="294"/>
      <c r="K86" s="295" t="s">
        <v>455</v>
      </c>
      <c r="L86" s="307"/>
      <c r="M86" s="294"/>
      <c r="N86" s="294"/>
      <c r="O86" s="294"/>
      <c r="P86" s="294"/>
      <c r="Q86" s="308" t="s">
        <v>456</v>
      </c>
      <c r="R86" s="323"/>
      <c r="S86" s="295"/>
      <c r="T86" s="295"/>
      <c r="U86" s="295"/>
      <c r="V86" s="297"/>
      <c r="W86" s="297"/>
      <c r="X86" s="324"/>
      <c r="Y86" s="336"/>
      <c r="Z86" s="295"/>
      <c r="AA86" s="333"/>
      <c r="AB86" s="307"/>
      <c r="AC86" s="307"/>
      <c r="AD86" s="307"/>
      <c r="AE86" s="307"/>
      <c r="AF86" s="307"/>
      <c r="AG86" s="307"/>
      <c r="AH86" s="307"/>
      <c r="AI86" s="307"/>
      <c r="AJ86" s="307"/>
    </row>
    <row r="87" customHeight="1" spans="1:36">
      <c r="A87" s="206" t="s">
        <v>457</v>
      </c>
      <c r="B87" s="207"/>
      <c r="C87" s="207"/>
      <c r="D87" s="207"/>
      <c r="E87" s="206" t="s">
        <v>367</v>
      </c>
      <c r="F87" s="208" t="s">
        <v>37</v>
      </c>
      <c r="G87" s="208"/>
      <c r="H87" s="208">
        <v>2</v>
      </c>
      <c r="I87" s="206"/>
      <c r="J87" s="206"/>
      <c r="K87" s="207" t="s">
        <v>328</v>
      </c>
      <c r="L87" s="240"/>
      <c r="M87" s="206"/>
      <c r="N87" s="206"/>
      <c r="O87" s="206"/>
      <c r="P87" s="276" t="s">
        <v>458</v>
      </c>
      <c r="Q87" s="325" t="s">
        <v>459</v>
      </c>
      <c r="R87" s="325" t="s">
        <v>459</v>
      </c>
      <c r="S87" s="207"/>
      <c r="T87" s="207"/>
      <c r="U87" s="207"/>
      <c r="V87" s="237"/>
      <c r="W87" s="237"/>
      <c r="X87" s="326"/>
      <c r="Y87" s="337"/>
      <c r="Z87" s="207"/>
      <c r="AA87" s="239"/>
      <c r="AB87" s="240"/>
      <c r="AC87" s="240"/>
      <c r="AD87" s="240"/>
      <c r="AE87" s="240"/>
      <c r="AF87" s="240"/>
      <c r="AG87" s="240"/>
      <c r="AH87" s="240"/>
      <c r="AI87" s="240"/>
      <c r="AJ87" s="240"/>
    </row>
    <row r="88" customHeight="1" spans="1:36">
      <c r="A88" s="300" t="s">
        <v>460</v>
      </c>
      <c r="B88" s="301" t="s">
        <v>31</v>
      </c>
      <c r="C88" s="301"/>
      <c r="D88" s="301"/>
      <c r="E88" s="300" t="s">
        <v>54</v>
      </c>
      <c r="F88" s="302" t="s">
        <v>37</v>
      </c>
      <c r="G88" s="302"/>
      <c r="H88" s="302"/>
      <c r="I88" s="300" t="s">
        <v>461</v>
      </c>
      <c r="J88" s="300"/>
      <c r="K88" s="301" t="s">
        <v>462</v>
      </c>
      <c r="L88" s="313"/>
      <c r="M88" s="300" t="s">
        <v>463</v>
      </c>
      <c r="N88" s="300"/>
      <c r="O88" s="300"/>
      <c r="P88" s="300"/>
      <c r="Q88" s="327" t="s">
        <v>464</v>
      </c>
      <c r="R88" s="328"/>
      <c r="S88" s="301"/>
      <c r="T88" s="301"/>
      <c r="U88" s="301"/>
      <c r="V88" s="329"/>
      <c r="W88" s="329"/>
      <c r="X88" s="330"/>
      <c r="Y88" s="338"/>
      <c r="Z88" s="301"/>
      <c r="AA88" s="339"/>
      <c r="AB88" s="313"/>
      <c r="AC88" s="313"/>
      <c r="AD88" s="313"/>
      <c r="AE88" s="313"/>
      <c r="AF88" s="313"/>
      <c r="AG88" s="313"/>
      <c r="AH88" s="313"/>
      <c r="AI88" s="313"/>
      <c r="AJ88" s="313"/>
    </row>
    <row r="89" customHeight="1" spans="1:36">
      <c r="A89" s="8" t="s">
        <v>465</v>
      </c>
      <c r="B89" s="6" t="s">
        <v>34</v>
      </c>
      <c r="C89" s="6" t="s">
        <v>35</v>
      </c>
      <c r="D89" s="6" t="s">
        <v>28</v>
      </c>
      <c r="E89" s="8" t="s">
        <v>367</v>
      </c>
      <c r="F89" s="208" t="s">
        <v>37</v>
      </c>
      <c r="G89" s="10"/>
      <c r="H89" s="10">
        <v>5</v>
      </c>
      <c r="I89" s="8" t="s">
        <v>466</v>
      </c>
      <c r="J89" s="8"/>
      <c r="K89" s="6" t="s">
        <v>467</v>
      </c>
      <c r="L89" s="7"/>
      <c r="M89" s="8"/>
      <c r="N89" s="8"/>
      <c r="O89" s="8"/>
      <c r="P89" s="242" t="s">
        <v>468</v>
      </c>
      <c r="Q89" s="242" t="s">
        <v>468</v>
      </c>
      <c r="S89" s="6"/>
      <c r="T89" s="6" t="s">
        <v>42</v>
      </c>
      <c r="U89" s="6" t="s">
        <v>469</v>
      </c>
      <c r="V89" s="19"/>
      <c r="W89" s="19"/>
      <c r="X89" s="2" t="s">
        <v>37</v>
      </c>
      <c r="Y89" s="340">
        <v>45484</v>
      </c>
      <c r="Z89" s="6" t="s">
        <v>141</v>
      </c>
      <c r="AA89" s="241" t="s">
        <v>470</v>
      </c>
      <c r="AB89" s="7"/>
      <c r="AC89" s="7"/>
      <c r="AD89" s="7"/>
      <c r="AE89" s="7"/>
      <c r="AF89" s="7"/>
      <c r="AG89" s="7"/>
      <c r="AH89" s="7"/>
      <c r="AI89" s="7"/>
      <c r="AJ89" s="7"/>
    </row>
    <row r="90" customHeight="1" spans="1:36">
      <c r="A90" s="303" t="s">
        <v>471</v>
      </c>
      <c r="B90" s="304" t="s">
        <v>34</v>
      </c>
      <c r="C90" s="304" t="s">
        <v>189</v>
      </c>
      <c r="D90" s="304" t="s">
        <v>28</v>
      </c>
      <c r="E90" s="303" t="s">
        <v>54</v>
      </c>
      <c r="F90" s="305" t="s">
        <v>37</v>
      </c>
      <c r="G90" s="305"/>
      <c r="H90" s="305">
        <v>3</v>
      </c>
      <c r="I90" s="304" t="s">
        <v>472</v>
      </c>
      <c r="J90" s="304"/>
      <c r="K90" s="345" t="s">
        <v>473</v>
      </c>
      <c r="L90" s="314"/>
      <c r="M90" s="303"/>
      <c r="N90" s="303"/>
      <c r="O90" s="303"/>
      <c r="P90" s="315" t="s">
        <v>474</v>
      </c>
      <c r="Q90" s="315" t="s">
        <v>475</v>
      </c>
      <c r="R90" s="303"/>
      <c r="S90" s="304"/>
      <c r="T90" s="304" t="s">
        <v>476</v>
      </c>
      <c r="U90" s="304" t="s">
        <v>477</v>
      </c>
      <c r="V90" s="331"/>
      <c r="W90" s="331"/>
      <c r="X90" s="332" t="s">
        <v>37</v>
      </c>
      <c r="Y90" s="341">
        <v>45311</v>
      </c>
      <c r="Z90" s="303"/>
      <c r="AA90" s="342" t="s">
        <v>478</v>
      </c>
      <c r="AB90" s="314"/>
      <c r="AC90" s="314"/>
      <c r="AD90" s="314"/>
      <c r="AE90" s="314"/>
      <c r="AF90" s="314"/>
      <c r="AG90" s="314"/>
      <c r="AH90" s="314"/>
      <c r="AI90" s="314"/>
      <c r="AJ90" s="314"/>
    </row>
    <row r="91" customHeight="1" spans="1:36">
      <c r="A91" s="8" t="s">
        <v>479</v>
      </c>
      <c r="B91" s="6" t="s">
        <v>34</v>
      </c>
      <c r="C91" s="2" t="s">
        <v>61</v>
      </c>
      <c r="D91" s="6" t="s">
        <v>28</v>
      </c>
      <c r="E91" s="8" t="s">
        <v>115</v>
      </c>
      <c r="F91" s="208" t="s">
        <v>37</v>
      </c>
      <c r="G91" s="10"/>
      <c r="H91" s="10">
        <v>1</v>
      </c>
      <c r="I91" s="2" t="s">
        <v>479</v>
      </c>
      <c r="J91" s="2"/>
      <c r="K91" s="6" t="s">
        <v>480</v>
      </c>
      <c r="L91" s="7"/>
      <c r="M91" s="2" t="s">
        <v>481</v>
      </c>
      <c r="N91" s="8"/>
      <c r="O91" s="8"/>
      <c r="P91" s="242" t="s">
        <v>482</v>
      </c>
      <c r="Q91" s="242" t="s">
        <v>482</v>
      </c>
      <c r="R91" s="6"/>
      <c r="S91" s="264"/>
      <c r="T91" s="2"/>
      <c r="U91" s="2"/>
      <c r="V91" s="19"/>
      <c r="W91" s="19"/>
      <c r="X91" s="2" t="s">
        <v>37</v>
      </c>
      <c r="Y91" s="8"/>
      <c r="Z91" s="279"/>
      <c r="AA91" s="280"/>
      <c r="AB91" s="7"/>
      <c r="AC91" s="7"/>
      <c r="AD91" s="7"/>
      <c r="AE91" s="7"/>
      <c r="AF91" s="7"/>
      <c r="AG91" s="7"/>
      <c r="AH91" s="7"/>
      <c r="AI91" s="7"/>
      <c r="AJ91" s="7"/>
    </row>
    <row r="92" customHeight="1" spans="1:36">
      <c r="A92" s="8" t="s">
        <v>483</v>
      </c>
      <c r="B92" s="6" t="s">
        <v>27</v>
      </c>
      <c r="C92" s="2" t="s">
        <v>225</v>
      </c>
      <c r="D92" s="6" t="s">
        <v>28</v>
      </c>
      <c r="E92" s="8" t="s">
        <v>163</v>
      </c>
      <c r="F92" s="208" t="s">
        <v>37</v>
      </c>
      <c r="G92" s="10"/>
      <c r="H92" s="10"/>
      <c r="I92" s="8" t="s">
        <v>483</v>
      </c>
      <c r="J92" s="8"/>
      <c r="K92" s="346" t="s">
        <v>484</v>
      </c>
      <c r="L92" s="5" t="s">
        <v>13</v>
      </c>
      <c r="M92" s="2" t="s">
        <v>485</v>
      </c>
      <c r="N92" s="346" t="s">
        <v>484</v>
      </c>
      <c r="O92" s="8"/>
      <c r="P92" s="8"/>
      <c r="Q92" s="8"/>
      <c r="R92" s="6"/>
      <c r="S92" s="264"/>
      <c r="T92" s="2"/>
      <c r="U92" s="2"/>
      <c r="V92" s="19"/>
      <c r="W92" s="19"/>
      <c r="X92" s="2"/>
      <c r="Y92" s="8"/>
      <c r="Z92" s="279"/>
      <c r="AA92" s="280"/>
      <c r="AB92" s="7"/>
      <c r="AC92" s="7"/>
      <c r="AD92" s="7"/>
      <c r="AE92" s="7"/>
      <c r="AF92" s="7"/>
      <c r="AG92" s="7"/>
      <c r="AH92" s="7"/>
      <c r="AI92" s="7"/>
      <c r="AJ92" s="7"/>
    </row>
    <row r="93" customHeight="1" spans="1:36">
      <c r="A93" s="8" t="s">
        <v>486</v>
      </c>
      <c r="B93" s="6" t="s">
        <v>487</v>
      </c>
      <c r="C93" s="2" t="s">
        <v>61</v>
      </c>
      <c r="D93" s="6" t="s">
        <v>28</v>
      </c>
      <c r="E93" s="8" t="s">
        <v>37</v>
      </c>
      <c r="F93" s="208" t="s">
        <v>37</v>
      </c>
      <c r="G93" s="10" t="s">
        <v>488</v>
      </c>
      <c r="H93" s="10"/>
      <c r="I93" s="2" t="s">
        <v>489</v>
      </c>
      <c r="J93" s="2"/>
      <c r="K93" s="2"/>
      <c r="L93" s="7"/>
      <c r="M93" s="2"/>
      <c r="N93" s="8"/>
      <c r="O93" s="8"/>
      <c r="P93" s="8"/>
      <c r="Q93" s="242" t="s">
        <v>490</v>
      </c>
      <c r="R93" s="6"/>
      <c r="S93" s="264"/>
      <c r="T93" s="2"/>
      <c r="U93" s="2"/>
      <c r="V93" s="19"/>
      <c r="W93" s="19"/>
      <c r="X93" s="2"/>
      <c r="Y93" s="8"/>
      <c r="Z93" s="279"/>
      <c r="AA93" s="280"/>
      <c r="AB93" s="7"/>
      <c r="AC93" s="7"/>
      <c r="AD93" s="7"/>
      <c r="AE93" s="7"/>
      <c r="AF93" s="7"/>
      <c r="AG93" s="7"/>
      <c r="AH93" s="7"/>
      <c r="AI93" s="7"/>
      <c r="AJ93" s="7"/>
    </row>
    <row r="94" customHeight="1" spans="1:36">
      <c r="A94" s="8"/>
      <c r="B94" s="6" t="s">
        <v>31</v>
      </c>
      <c r="C94" s="2"/>
      <c r="D94" s="6"/>
      <c r="E94" s="8"/>
      <c r="F94" s="10"/>
      <c r="G94" s="10"/>
      <c r="H94" s="10"/>
      <c r="I94" s="2"/>
      <c r="J94" s="2"/>
      <c r="K94" s="2"/>
      <c r="L94" s="7"/>
      <c r="M94" s="2"/>
      <c r="N94" s="8"/>
      <c r="O94" s="8"/>
      <c r="P94" s="8"/>
      <c r="Q94" s="8"/>
      <c r="R94" s="6"/>
      <c r="S94" s="264"/>
      <c r="T94" s="2"/>
      <c r="U94" s="2"/>
      <c r="V94" s="19"/>
      <c r="W94" s="19"/>
      <c r="X94" s="2"/>
      <c r="Y94" s="8"/>
      <c r="Z94" s="279"/>
      <c r="AA94" s="280"/>
      <c r="AB94" s="7"/>
      <c r="AC94" s="7"/>
      <c r="AD94" s="7"/>
      <c r="AE94" s="7"/>
      <c r="AF94" s="7"/>
      <c r="AG94" s="7"/>
      <c r="AH94" s="7"/>
      <c r="AI94" s="7"/>
      <c r="AJ94" s="7"/>
    </row>
    <row r="95" customHeight="1" spans="1:36">
      <c r="A95" s="8"/>
      <c r="B95" s="6"/>
      <c r="C95" s="2"/>
      <c r="D95" s="6"/>
      <c r="E95" s="8"/>
      <c r="F95" s="10"/>
      <c r="G95" s="10"/>
      <c r="H95" s="10"/>
      <c r="I95" s="2"/>
      <c r="J95" s="2"/>
      <c r="K95" s="2"/>
      <c r="L95" s="7"/>
      <c r="M95" s="2"/>
      <c r="N95" s="8"/>
      <c r="O95" s="8"/>
      <c r="P95" s="8"/>
      <c r="Q95" s="8"/>
      <c r="R95" s="6"/>
      <c r="S95" s="264"/>
      <c r="T95" s="2"/>
      <c r="U95" s="2"/>
      <c r="V95" s="19"/>
      <c r="W95" s="19"/>
      <c r="X95" s="2"/>
      <c r="Y95" s="8"/>
      <c r="Z95" s="279"/>
      <c r="AA95" s="280"/>
      <c r="AB95" s="7"/>
      <c r="AC95" s="7"/>
      <c r="AD95" s="7"/>
      <c r="AE95" s="7"/>
      <c r="AF95" s="7"/>
      <c r="AG95" s="7"/>
      <c r="AH95" s="7"/>
      <c r="AI95" s="7"/>
      <c r="AJ95" s="7"/>
    </row>
    <row r="96" customHeight="1" spans="1:36">
      <c r="A96" s="8"/>
      <c r="B96" s="6"/>
      <c r="C96" s="2"/>
      <c r="D96" s="6"/>
      <c r="E96" s="8"/>
      <c r="F96" s="10"/>
      <c r="G96" s="10"/>
      <c r="H96" s="10"/>
      <c r="I96" s="2"/>
      <c r="J96" s="2"/>
      <c r="K96" s="2"/>
      <c r="L96" s="7"/>
      <c r="M96" s="2"/>
      <c r="N96" s="8"/>
      <c r="O96" s="8"/>
      <c r="P96" s="8"/>
      <c r="Q96" s="8"/>
      <c r="R96" s="6"/>
      <c r="S96" s="264"/>
      <c r="T96" s="2"/>
      <c r="U96" s="2"/>
      <c r="V96" s="19"/>
      <c r="W96" s="19"/>
      <c r="X96" s="2"/>
      <c r="Y96" s="8"/>
      <c r="Z96" s="279"/>
      <c r="AA96" s="280"/>
      <c r="AB96" s="7"/>
      <c r="AC96" s="7"/>
      <c r="AD96" s="7"/>
      <c r="AE96" s="7"/>
      <c r="AF96" s="7"/>
      <c r="AG96" s="7"/>
      <c r="AH96" s="7"/>
      <c r="AI96" s="7"/>
      <c r="AJ96" s="7"/>
    </row>
    <row r="97" customHeight="1" spans="1:36">
      <c r="A97" s="8"/>
      <c r="B97" s="6"/>
      <c r="C97" s="2"/>
      <c r="D97" s="6"/>
      <c r="E97" s="8"/>
      <c r="F97" s="10"/>
      <c r="G97" s="10"/>
      <c r="H97" s="10"/>
      <c r="I97" s="2"/>
      <c r="J97" s="2"/>
      <c r="K97" s="2"/>
      <c r="L97" s="7"/>
      <c r="M97" s="2"/>
      <c r="N97" s="8"/>
      <c r="O97" s="8"/>
      <c r="P97" s="8"/>
      <c r="Q97" s="8"/>
      <c r="R97" s="6"/>
      <c r="S97" s="264"/>
      <c r="T97" s="2"/>
      <c r="U97" s="2"/>
      <c r="V97" s="19"/>
      <c r="W97" s="19"/>
      <c r="X97" s="2"/>
      <c r="Y97" s="8"/>
      <c r="Z97" s="279"/>
      <c r="AA97" s="280"/>
      <c r="AB97" s="7"/>
      <c r="AC97" s="7"/>
      <c r="AD97" s="7"/>
      <c r="AE97" s="7"/>
      <c r="AF97" s="7"/>
      <c r="AG97" s="7"/>
      <c r="AH97" s="7"/>
      <c r="AI97" s="7"/>
      <c r="AJ97" s="7"/>
    </row>
    <row r="98" customHeight="1" spans="1:36">
      <c r="A98" s="8"/>
      <c r="B98" s="6"/>
      <c r="C98" s="2"/>
      <c r="D98" s="6"/>
      <c r="E98" s="8"/>
      <c r="F98" s="10"/>
      <c r="G98" s="10"/>
      <c r="H98" s="10"/>
      <c r="I98" s="2"/>
      <c r="J98" s="2"/>
      <c r="K98" s="2"/>
      <c r="L98" s="7"/>
      <c r="M98" s="2"/>
      <c r="N98" s="8"/>
      <c r="O98" s="8"/>
      <c r="P98" s="8"/>
      <c r="Q98" s="8"/>
      <c r="R98" s="6"/>
      <c r="S98" s="264"/>
      <c r="T98" s="2"/>
      <c r="U98" s="2"/>
      <c r="V98" s="19"/>
      <c r="W98" s="19"/>
      <c r="X98" s="2"/>
      <c r="Y98" s="8"/>
      <c r="Z98" s="279"/>
      <c r="AA98" s="280"/>
      <c r="AB98" s="7"/>
      <c r="AC98" s="7"/>
      <c r="AD98" s="7"/>
      <c r="AE98" s="7"/>
      <c r="AF98" s="7"/>
      <c r="AG98" s="7"/>
      <c r="AH98" s="7"/>
      <c r="AI98" s="7"/>
      <c r="AJ98" s="7"/>
    </row>
  </sheetData>
  <conditionalFormatting sqref="A5">
    <cfRule type="notContainsBlanks" dxfId="0" priority="24">
      <formula>LEN(TRIM(A5))&gt;0</formula>
    </cfRule>
  </conditionalFormatting>
  <conditionalFormatting sqref="E22">
    <cfRule type="cellIs" dxfId="1" priority="18" operator="equal">
      <formula>"Trying"</formula>
    </cfRule>
  </conditionalFormatting>
  <conditionalFormatting sqref="E23:E25">
    <cfRule type="cellIs" dxfId="2" priority="1" operator="equal">
      <formula>"OS"</formula>
    </cfRule>
    <cfRule type="cellIs" dxfId="3" priority="2" operator="equal">
      <formula>"Contacted 1"</formula>
    </cfRule>
    <cfRule type="cellIs" dxfId="3" priority="3" operator="equal">
      <formula>"Msgd"</formula>
    </cfRule>
    <cfRule type="cellIs" dxfId="4" priority="4" operator="equal">
      <formula>"Accepted"</formula>
    </cfRule>
    <cfRule type="cellIs" dxfId="5" priority="5" operator="equal">
      <formula>"Contacted 2"</formula>
    </cfRule>
    <cfRule type="cellIs" dxfId="6" priority="6" operator="equal">
      <formula>"Msgd 2"</formula>
    </cfRule>
    <cfRule type="cellIs" dxfId="7" priority="7" operator="equal">
      <formula>"Msgd FB"</formula>
    </cfRule>
    <cfRule type="cellIs" dxfId="1" priority="8" operator="equal">
      <formula>"Trying"</formula>
    </cfRule>
    <cfRule type="cellIs" dxfId="8" priority="9" operator="equal">
      <formula>"Dead"</formula>
    </cfRule>
    <cfRule type="cellIs" dxfId="9" priority="10" operator="equal">
      <formula>"Msgd Web"</formula>
    </cfRule>
    <cfRule type="cellIs" dxfId="10" priority="11" operator="equal">
      <formula>"Phoned"</formula>
    </cfRule>
  </conditionalFormatting>
  <conditionalFormatting sqref="E3:E22 E26:E98">
    <cfRule type="cellIs" dxfId="2" priority="12" operator="equal">
      <formula>"OS"</formula>
    </cfRule>
    <cfRule type="cellIs" dxfId="3" priority="13" operator="equal">
      <formula>"Contacted 1"</formula>
    </cfRule>
    <cfRule type="cellIs" dxfId="3" priority="14" operator="equal">
      <formula>"Msgd"</formula>
    </cfRule>
    <cfRule type="cellIs" dxfId="4" priority="15" operator="equal">
      <formula>"Accepted"</formula>
    </cfRule>
    <cfRule type="cellIs" dxfId="5" priority="16" operator="equal">
      <formula>"Contacted 2"</formula>
    </cfRule>
    <cfRule type="cellIs" dxfId="6" priority="17" operator="equal">
      <formula>"Msgd 2"</formula>
    </cfRule>
    <cfRule type="cellIs" dxfId="7" priority="19" operator="equal">
      <formula>"Msgd FB"</formula>
    </cfRule>
    <cfRule type="cellIs" dxfId="1" priority="20" operator="equal">
      <formula>"Trying"</formula>
    </cfRule>
    <cfRule type="cellIs" dxfId="8" priority="21" operator="equal">
      <formula>"Dead"</formula>
    </cfRule>
    <cfRule type="cellIs" dxfId="9" priority="22" operator="equal">
      <formula>"Msgd Web"</formula>
    </cfRule>
    <cfRule type="cellIs" dxfId="10" priority="23" operator="equal">
      <formula>"Phoned"</formula>
    </cfRule>
  </conditionalFormatting>
  <dataValidations count="4">
    <dataValidation type="list" allowBlank="1" showErrorMessage="1" sqref="B2:B98">
      <formula1>Type</formula1>
    </dataValidation>
    <dataValidation type="list" allowBlank="1" showErrorMessage="1" sqref="C2:C98">
      <formula1>Area</formula1>
    </dataValidation>
    <dataValidation type="list" allowBlank="1" showErrorMessage="1" sqref="D2:D98">
      <formula1>Alias</formula1>
    </dataValidation>
    <dataValidation type="list" allowBlank="1" showErrorMessage="1" sqref="E2:E39 E41:E98">
      <formula1>Status</formula1>
    </dataValidation>
  </dataValidations>
  <hyperlinks>
    <hyperlink ref="R5" r:id="rId1" display="https://apolonioandgeonzonrealty.com/"/>
    <hyperlink ref="P20" r:id="rId2" display="https://www.facebook.com/messages/e2ee/t/8142342699162830"/>
    <hyperlink ref="P23" r:id="rId3" display="https://www.facebook.com/cgtrealty/#"/>
    <hyperlink ref="P24" r:id="rId4" display="https://www.facebook.com/raul.g.anuada"/>
    <hyperlink ref="Q24" r:id="rId5" display="DavaoCityProperty.com"/>
    <hyperlink ref="P26" r:id="rId6" display="https://www.facebook.com/messages/e2ee/t/7544486862299192"/>
    <hyperlink ref="Q26" r:id="rId6" display="https://www.facebook.com/messages/e2ee/t/7544486862299192"/>
    <hyperlink ref="R27" r:id="rId7" display="https://davaohouselot.com/mati-real-estate-broker/&#10;www.condodavao.com"/>
    <hyperlink ref="R28" r:id="rId8" display="https://www.facebook.com/DavaoPropertyRealty/"/>
    <hyperlink ref="Q30" r:id="rId9" display="&#10;https://www.messenger.com/e2ee/t/9748301158532840/"/>
    <hyperlink ref="R30" r:id="rId10" display="https://www.facebook.com/davaopropertyportal/"/>
    <hyperlink ref="R32" r:id="rId11" display="https://propertyproviders.ph/pioneers/"/>
    <hyperlink ref="P33" r:id="rId12" display="https://www.facebook.com/davaopropertysolutions/"/>
    <hyperlink ref="R33" r:id="rId13" display="www.davaopropertysolutions.com"/>
    <hyperlink ref="R34" r:id="rId14" display="https://www.dmcihomes.com/"/>
    <hyperlink ref="P37" r:id="rId15" display="https://www.facebook.com/beautyferl?mibextid=ZbWKwL"/>
    <hyperlink ref="P39" r:id="rId16" display="https://www.facebook.com/FujiRealtyAndDevelopmentCorporation/"/>
    <hyperlink ref="R39" r:id="rId17" display="fujirealtydavao.com"/>
    <hyperlink ref="P41" r:id="rId18" display="https://www.facebook.com/tissueculturebanana/"/>
    <hyperlink ref="Q41" r:id="rId19" display="https://www.facebook.com/messages/t/635053346628851"/>
    <hyperlink ref="P42" r:id="rId20" display="https://www.facebook.com/HTRealtyPhilippines"/>
    <hyperlink ref="R42" r:id="rId21" display="https://htrealty.ph/"/>
    <hyperlink ref="P47" r:id="rId22" display="https://www.facebook.com/KhemArellanoRES"/>
    <hyperlink ref="P48" r:id="rId23" display="https://www.facebook.com/magdasalrealty/"/>
    <hyperlink ref="R48" r:id="rId2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R49" r:id="rId25" display="https://www.facebook.com/LaciaRealty/"/>
    <hyperlink ref="P52" r:id="rId26" display="https://m.facebook.com/p/Mati-Real-Estate-100063533635462/"/>
    <hyperlink ref="Q52" r:id="rId27" display="https://www.facebook.com/messages/t/1664868126961377"/>
    <hyperlink ref="P54" r:id="rId28" display="https://www.facebook.com/MelannyAnganganREB"/>
    <hyperlink ref="Q54" r:id="rId29" display="https://www.facebook.com/messages/t/747919861957571"/>
    <hyperlink ref="R54" r:id="rId30" display="https://www.acrbproperties.com/"/>
    <hyperlink ref="P55" r:id="rId31" display="reham.francisco"/>
    <hyperlink ref="Q55" r:id="rId32" display="https://www.facebook.com/messages/e2ee/t/9253871861341922"/>
    <hyperlink ref="P56" r:id="rId33" display="https://www.facebook.com/mirafer.fernandez.2024/"/>
    <hyperlink ref="Q56" r:id="rId33" display="https://www.facebook.com/mirafer.fernandez.2024/"/>
    <hyperlink ref="Q58" r:id="rId34" display="https://www.messenger.com/e2ee/t/7742729382478496"/>
    <hyperlink ref="P60" r:id="rId35" display="https://www.facebook.com/rosedale.raiden.7"/>
    <hyperlink ref="P61" r:id="rId36" display="https://web.facebook.com/jiar.basyo#"/>
    <hyperlink ref="Q61" r:id="rId37" display="https://www.messenger.com/e2ee/t/8026314247429525"/>
    <hyperlink ref="P62" r:id="rId38" display="https://www.facebook.com/danny.gaede"/>
    <hyperlink ref="P63" r:id="rId39" display="https://www.facebook.com/leoluis.navarro?mibextid=ZbWKwL"/>
    <hyperlink ref="Q63" r:id="rId39" display="https://www.facebook.com/leoluis.navarro?mibextid=ZbWKwL"/>
    <hyperlink ref="P64" r:id="rId40" display="https://www.facebook.com/permalink.php/?story_fbid=102997225544310&amp;id=102918528885513"/>
    <hyperlink ref="Q64" r:id="rId40" display="https://www.facebook.com/permalink.php/?story_fbid=102997225544310&amp;id=102918528885513"/>
    <hyperlink ref="P65" r:id="rId41" display="https://www.facebook.com/p/Platinum-Realty-Brokerage-61561977923251/"/>
    <hyperlink ref="Q65" r:id="rId42" display="https://www.facebook.com/messages/t/361607417037213"/>
    <hyperlink ref="P66" r:id="rId43" display="https://www.facebook.com/PrimabodeDavao "/>
    <hyperlink ref="Q66" r:id="rId43" display="https://www.facebook.com/PrimabodeDavao "/>
    <hyperlink ref="P67" r:id="rId44" display="https://www.facebook.com/princedior.sepe"/>
    <hyperlink ref="Q67" r:id="rId44" display="https://www.facebook.com/princedior.sepe"/>
    <hyperlink ref="A68" r:id="rId45" display="Propertier.PH"/>
    <hyperlink ref="R68" r:id="rId46" display="https://www.propertier.ph/"/>
    <hyperlink ref="P69" r:id="rId47" display="https://www.facebook.com/propertyseekerrealty"/>
    <hyperlink ref="Q69" r:id="rId47" display="https://www.facebook.com/propertyseekerrealty"/>
    <hyperlink ref="R69" r:id="rId48" display="https://www.propseekerrealty.com/"/>
    <hyperlink ref="R70" r:id="rId49" display="https://www.propertybroker.ph/"/>
    <hyperlink ref="Q71" r:id="rId50" display="https://www.messenger.com/e2ee/t/9955794257877020"/>
    <hyperlink ref="P72" r:id="rId51" display="https://www.facebook.com/rhea.perez.31392"/>
    <hyperlink ref="P73" r:id="rId52" display="https://www.facebook.com/rcrealtyandbrokerage"/>
    <hyperlink ref="Q73" r:id="rId53" display="https://www.facebook.com/messages/t/439672376056987"/>
    <hyperlink ref="R73" r:id="rId54" display="https://www.facebook.com/rcrealtyandbrokerage/"/>
    <hyperlink ref="P76" r:id="rId55" display="https://www.messenger.com/e2ee/t/759745700083577"/>
    <hyperlink ref="Q76" r:id="rId55" display="https://www.messenger.com/e2ee/t/759745700083577"/>
    <hyperlink ref="P77" r:id="rId56" display="https://www.facebook.com/RMERUSSELREALTY/"/>
    <hyperlink ref="Q77" r:id="rId53" display="https://www.facebook.com/messages/t/439672376056987"/>
    <hyperlink ref="R80" r:id="rId57" display="salvimindarealty.com "/>
    <hyperlink ref="P82" r:id="rId58" display="https://www.facebook.com/stellarrealtyph/"/>
    <hyperlink ref="Q82" r:id="rId58" display="https://www.facebook.com/stellarrealtyph/"/>
    <hyperlink ref="N83" r:id="rId59" display="https://www.facebook.com/keltaplac"/>
    <hyperlink ref="P83" r:id="rId60" display="https://www.facebook.com/profile.php?id=100076220557970"/>
    <hyperlink ref="Q83" r:id="rId60" display="https://www.facebook.com/profile.php?id=100076220557970"/>
    <hyperlink ref="P84" r:id="rId61" display="https://www.facebook.com/tgmprimeproperties"/>
    <hyperlink ref="Q84" r:id="rId62" display="https://www.facebook.com/messages/e2ee/t/7369231737450781828"/>
    <hyperlink ref="Q86" r:id="rId63" display="https://www.facebook.com/messages/e2ee/t/1579425843028759"/>
    <hyperlink ref="P87" r:id="rId64" display="https://www.facebook.com/veronica.siblos#"/>
    <hyperlink ref="Q87" r:id="rId65" display="https://www.facebook.com/emilia.fajardo.pabilan"/>
    <hyperlink ref="R87" r:id="rId65" display="https://www.facebook.com/emilia.fajardo.pabilan"/>
    <hyperlink ref="Q88" r:id="rId66" display="https://www.messenger.com/e2ee/t/9091214100958211"/>
    <hyperlink ref="P89" r:id="rId67" display="https://www.facebook.com/villocinorealty/"/>
    <hyperlink ref="Q89" r:id="rId67" display="https://www.facebook.com/villocinorealty/"/>
    <hyperlink ref="P90" r:id="rId68" display="https://www.facebook.com/vaceniza"/>
    <hyperlink ref="Q90" r:id="rId69" display="https://www.facebook.com/messages/e2ee/t/2182092612301923"/>
    <hyperlink ref="P91" r:id="rId70" display="https://www.messenger.com/e2ee/t/8060634060665609 "/>
    <hyperlink ref="Q91" r:id="rId70" display="https://www.messenger.com/e2ee/t/8060634060665609 "/>
    <hyperlink ref="Q93" r:id="rId71" display="https://www.facebook.com/messages/t/100001201376134"/>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00"/>
  <sheetViews>
    <sheetView workbookViewId="0">
      <selection activeCell="A1" sqref="A1"/>
    </sheetView>
  </sheetViews>
  <sheetFormatPr defaultColWidth="12.6272727272727" defaultRowHeight="15.75" customHeight="1" outlineLevelCol="6"/>
  <cols>
    <col min="1" max="1" width="22" customWidth="1"/>
    <col min="4" max="6" width="20.1272727272727" customWidth="1"/>
  </cols>
  <sheetData>
    <row r="1" customHeight="1" spans="1:7">
      <c r="A1" s="195" t="s">
        <v>491</v>
      </c>
      <c r="B1" s="196" t="s">
        <v>492</v>
      </c>
      <c r="C1" s="197" t="s">
        <v>493</v>
      </c>
      <c r="D1" s="196" t="s">
        <v>6</v>
      </c>
      <c r="E1" s="196" t="s">
        <v>494</v>
      </c>
      <c r="F1" s="196" t="s">
        <v>495</v>
      </c>
      <c r="G1" s="196" t="s">
        <v>496</v>
      </c>
    </row>
    <row r="2" customHeight="1" spans="1:7">
      <c r="A2" s="186" t="s">
        <v>258</v>
      </c>
      <c r="B2" s="198">
        <v>45907</v>
      </c>
      <c r="C2" s="199" t="s">
        <v>497</v>
      </c>
      <c r="D2" s="187" t="s">
        <v>498</v>
      </c>
      <c r="E2" s="187"/>
      <c r="F2" s="187" t="s">
        <v>499</v>
      </c>
      <c r="G2" s="200">
        <f>B2+2</f>
        <v>45909</v>
      </c>
    </row>
    <row r="3" customHeight="1" spans="1:6">
      <c r="A3" s="189" t="s">
        <v>26</v>
      </c>
      <c r="B3" s="198">
        <v>45817</v>
      </c>
      <c r="C3" s="201" t="s">
        <v>497</v>
      </c>
      <c r="E3" s="9" t="s">
        <v>500</v>
      </c>
      <c r="F3" s="60"/>
    </row>
    <row r="4" customHeight="1" spans="1:6">
      <c r="A4" s="189" t="s">
        <v>26</v>
      </c>
      <c r="B4" s="202">
        <v>45878</v>
      </c>
      <c r="C4" s="201" t="s">
        <v>497</v>
      </c>
      <c r="E4" s="9" t="s">
        <v>24</v>
      </c>
      <c r="F4" s="9" t="s">
        <v>499</v>
      </c>
    </row>
    <row r="5" customHeight="1" spans="1:7">
      <c r="A5" s="189" t="s">
        <v>26</v>
      </c>
      <c r="B5" s="202">
        <v>45908</v>
      </c>
      <c r="C5" s="201" t="s">
        <v>497</v>
      </c>
      <c r="D5" s="9" t="s">
        <v>501</v>
      </c>
      <c r="E5" s="9" t="s">
        <v>24</v>
      </c>
      <c r="F5" s="9" t="s">
        <v>499</v>
      </c>
      <c r="G5" s="202">
        <v>45910</v>
      </c>
    </row>
    <row r="6" customHeight="1" spans="1:6">
      <c r="A6" s="191"/>
      <c r="C6" s="203"/>
      <c r="E6" s="60"/>
      <c r="F6" s="60"/>
    </row>
    <row r="7" customHeight="1" spans="1:6">
      <c r="A7" s="191"/>
      <c r="C7" s="203"/>
      <c r="E7" s="60"/>
      <c r="F7" s="60"/>
    </row>
    <row r="8" customHeight="1" spans="1:6">
      <c r="A8" s="191"/>
      <c r="C8" s="203"/>
      <c r="E8" s="60"/>
      <c r="F8" s="60"/>
    </row>
    <row r="9" customHeight="1" spans="1:6">
      <c r="A9" s="191"/>
      <c r="C9" s="203"/>
      <c r="E9" s="60"/>
      <c r="F9" s="60"/>
    </row>
    <row r="10" customHeight="1" spans="1:6">
      <c r="A10" s="191"/>
      <c r="C10" s="203"/>
      <c r="E10" s="60"/>
      <c r="F10" s="60"/>
    </row>
    <row r="11" customHeight="1" spans="1:6">
      <c r="A11" s="191"/>
      <c r="C11" s="203"/>
      <c r="E11" s="60"/>
      <c r="F11" s="60"/>
    </row>
    <row r="12" customHeight="1" spans="1:6">
      <c r="A12" s="191"/>
      <c r="C12" s="203"/>
      <c r="E12" s="60"/>
      <c r="F12" s="60"/>
    </row>
    <row r="13" customHeight="1" spans="1:6">
      <c r="A13" s="191"/>
      <c r="C13" s="203"/>
      <c r="E13" s="60"/>
      <c r="F13" s="60"/>
    </row>
    <row r="14" customHeight="1" spans="1:6">
      <c r="A14" s="191"/>
      <c r="C14" s="203"/>
      <c r="E14" s="60"/>
      <c r="F14" s="60"/>
    </row>
    <row r="15" customHeight="1" spans="1:6">
      <c r="A15" s="191"/>
      <c r="C15" s="203"/>
      <c r="E15" s="60"/>
      <c r="F15" s="60"/>
    </row>
    <row r="16" customHeight="1" spans="1:6">
      <c r="A16" s="191"/>
      <c r="C16" s="203"/>
      <c r="E16" s="60"/>
      <c r="F16" s="60"/>
    </row>
    <row r="17" customHeight="1" spans="1:6">
      <c r="A17" s="191"/>
      <c r="C17" s="203"/>
      <c r="E17" s="60"/>
      <c r="F17" s="60"/>
    </row>
    <row r="18" customHeight="1" spans="1:6">
      <c r="A18" s="191"/>
      <c r="C18" s="203"/>
      <c r="E18" s="60"/>
      <c r="F18" s="60"/>
    </row>
    <row r="19" customHeight="1" spans="1:6">
      <c r="A19" s="191"/>
      <c r="C19" s="203"/>
      <c r="E19" s="60"/>
      <c r="F19" s="60"/>
    </row>
    <row r="20" customHeight="1" spans="1:6">
      <c r="A20" s="191"/>
      <c r="C20" s="203"/>
      <c r="E20" s="60"/>
      <c r="F20" s="60"/>
    </row>
    <row r="21" customHeight="1" spans="1:6">
      <c r="A21" s="191"/>
      <c r="C21" s="203"/>
      <c r="E21" s="60"/>
      <c r="F21" s="60"/>
    </row>
    <row r="22" customHeight="1" spans="1:6">
      <c r="A22" s="191"/>
      <c r="C22" s="203"/>
      <c r="E22" s="60"/>
      <c r="F22" s="60"/>
    </row>
    <row r="23" customHeight="1" spans="1:6">
      <c r="A23" s="191"/>
      <c r="C23" s="203"/>
      <c r="E23" s="60"/>
      <c r="F23" s="60"/>
    </row>
    <row r="24" customHeight="1" spans="1:6">
      <c r="A24" s="191"/>
      <c r="C24" s="203"/>
      <c r="E24" s="60"/>
      <c r="F24" s="60"/>
    </row>
    <row r="25" customHeight="1" spans="1:6">
      <c r="A25" s="191"/>
      <c r="C25" s="203"/>
      <c r="E25" s="60"/>
      <c r="F25" s="60"/>
    </row>
    <row r="26" customHeight="1" spans="1:6">
      <c r="A26" s="191"/>
      <c r="C26" s="203"/>
      <c r="E26" s="60"/>
      <c r="F26" s="60"/>
    </row>
    <row r="27" customHeight="1" spans="1:6">
      <c r="A27" s="191"/>
      <c r="C27" s="203"/>
      <c r="E27" s="60"/>
      <c r="F27" s="60"/>
    </row>
    <row r="28" customHeight="1" spans="1:6">
      <c r="A28" s="191"/>
      <c r="C28" s="203"/>
      <c r="E28" s="60"/>
      <c r="F28" s="60"/>
    </row>
    <row r="29" customHeight="1" spans="1:6">
      <c r="A29" s="191"/>
      <c r="C29" s="203"/>
      <c r="E29" s="60"/>
      <c r="F29" s="60"/>
    </row>
    <row r="30" customHeight="1" spans="1:6">
      <c r="A30" s="191"/>
      <c r="C30" s="203"/>
      <c r="E30" s="60"/>
      <c r="F30" s="60"/>
    </row>
    <row r="31" customHeight="1" spans="1:6">
      <c r="A31" s="191"/>
      <c r="C31" s="203"/>
      <c r="E31" s="60"/>
      <c r="F31" s="60"/>
    </row>
    <row r="32" customHeight="1" spans="1:6">
      <c r="A32" s="191"/>
      <c r="C32" s="203"/>
      <c r="E32" s="60"/>
      <c r="F32" s="60"/>
    </row>
    <row r="33" customHeight="1" spans="1:6">
      <c r="A33" s="191"/>
      <c r="C33" s="203"/>
      <c r="E33" s="60"/>
      <c r="F33" s="60"/>
    </row>
    <row r="34" customHeight="1" spans="1:6">
      <c r="A34" s="191"/>
      <c r="C34" s="203"/>
      <c r="E34" s="60"/>
      <c r="F34" s="60"/>
    </row>
    <row r="35" customHeight="1" spans="1:6">
      <c r="A35" s="191"/>
      <c r="C35" s="203"/>
      <c r="E35" s="60"/>
      <c r="F35" s="60"/>
    </row>
    <row r="36" customHeight="1" spans="1:6">
      <c r="A36" s="191"/>
      <c r="C36" s="203"/>
      <c r="E36" s="60"/>
      <c r="F36" s="60"/>
    </row>
    <row r="37" customHeight="1" spans="1:6">
      <c r="A37" s="191"/>
      <c r="C37" s="203"/>
      <c r="E37" s="60"/>
      <c r="F37" s="60"/>
    </row>
    <row r="38" customHeight="1" spans="1:6">
      <c r="A38" s="191"/>
      <c r="C38" s="203"/>
      <c r="E38" s="60"/>
      <c r="F38" s="60"/>
    </row>
    <row r="39" customHeight="1" spans="1:6">
      <c r="A39" s="191"/>
      <c r="C39" s="203"/>
      <c r="E39" s="60"/>
      <c r="F39" s="60"/>
    </row>
    <row r="40" customHeight="1" spans="1:6">
      <c r="A40" s="191"/>
      <c r="C40" s="203"/>
      <c r="E40" s="60"/>
      <c r="F40" s="60"/>
    </row>
    <row r="41" customHeight="1" spans="1:6">
      <c r="A41" s="191"/>
      <c r="C41" s="203"/>
      <c r="E41" s="60"/>
      <c r="F41" s="60"/>
    </row>
    <row r="42" customHeight="1" spans="1:6">
      <c r="A42" s="191"/>
      <c r="C42" s="203"/>
      <c r="E42" s="60"/>
      <c r="F42" s="60"/>
    </row>
    <row r="43" customHeight="1" spans="1:6">
      <c r="A43" s="191"/>
      <c r="C43" s="203"/>
      <c r="E43" s="60"/>
      <c r="F43" s="60"/>
    </row>
    <row r="44" customHeight="1" spans="1:6">
      <c r="A44" s="191"/>
      <c r="C44" s="203"/>
      <c r="E44" s="60"/>
      <c r="F44" s="60"/>
    </row>
    <row r="45" customHeight="1" spans="1:6">
      <c r="A45" s="191"/>
      <c r="C45" s="203"/>
      <c r="E45" s="60"/>
      <c r="F45" s="60"/>
    </row>
    <row r="46" customHeight="1" spans="1:6">
      <c r="A46" s="191"/>
      <c r="C46" s="203"/>
      <c r="E46" s="60"/>
      <c r="F46" s="60"/>
    </row>
    <row r="47" customHeight="1" spans="1:6">
      <c r="A47" s="191"/>
      <c r="C47" s="203"/>
      <c r="E47" s="60"/>
      <c r="F47" s="60"/>
    </row>
    <row r="48" customHeight="1" spans="1:6">
      <c r="A48" s="191"/>
      <c r="C48" s="203"/>
      <c r="E48" s="60"/>
      <c r="F48" s="60"/>
    </row>
    <row r="49" customHeight="1" spans="1:6">
      <c r="A49" s="191"/>
      <c r="C49" s="203"/>
      <c r="E49" s="60"/>
      <c r="F49" s="60"/>
    </row>
    <row r="50" customHeight="1" spans="1:6">
      <c r="A50" s="191"/>
      <c r="C50" s="203"/>
      <c r="E50" s="60"/>
      <c r="F50" s="60"/>
    </row>
    <row r="51" customHeight="1" spans="1:6">
      <c r="A51" s="191"/>
      <c r="C51" s="203"/>
      <c r="E51" s="60"/>
      <c r="F51" s="60"/>
    </row>
    <row r="52" customHeight="1" spans="1:6">
      <c r="A52" s="191"/>
      <c r="C52" s="203"/>
      <c r="E52" s="60"/>
      <c r="F52" s="60"/>
    </row>
    <row r="53" customHeight="1" spans="1:6">
      <c r="A53" s="191"/>
      <c r="C53" s="203"/>
      <c r="E53" s="60"/>
      <c r="F53" s="60"/>
    </row>
    <row r="54" customHeight="1" spans="1:6">
      <c r="A54" s="191"/>
      <c r="C54" s="203"/>
      <c r="E54" s="60"/>
      <c r="F54" s="60"/>
    </row>
    <row r="55" customHeight="1" spans="1:6">
      <c r="A55" s="191"/>
      <c r="C55" s="203"/>
      <c r="E55" s="60"/>
      <c r="F55" s="60"/>
    </row>
    <row r="56" customHeight="1" spans="1:6">
      <c r="A56" s="191"/>
      <c r="C56" s="203"/>
      <c r="E56" s="60"/>
      <c r="F56" s="60"/>
    </row>
    <row r="57" customHeight="1" spans="1:6">
      <c r="A57" s="191"/>
      <c r="C57" s="203"/>
      <c r="E57" s="60"/>
      <c r="F57" s="60"/>
    </row>
    <row r="58" customHeight="1" spans="1:6">
      <c r="A58" s="191"/>
      <c r="C58" s="203"/>
      <c r="E58" s="60"/>
      <c r="F58" s="60"/>
    </row>
    <row r="59" customHeight="1" spans="1:6">
      <c r="A59" s="191"/>
      <c r="C59" s="203"/>
      <c r="E59" s="60"/>
      <c r="F59" s="60"/>
    </row>
    <row r="60" customHeight="1" spans="1:6">
      <c r="A60" s="191"/>
      <c r="C60" s="203"/>
      <c r="E60" s="60"/>
      <c r="F60" s="60"/>
    </row>
    <row r="61" customHeight="1" spans="1:6">
      <c r="A61" s="191"/>
      <c r="C61" s="203"/>
      <c r="E61" s="60"/>
      <c r="F61" s="60"/>
    </row>
    <row r="62" customHeight="1" spans="1:6">
      <c r="A62" s="191"/>
      <c r="C62" s="203"/>
      <c r="E62" s="60"/>
      <c r="F62" s="60"/>
    </row>
    <row r="63" customHeight="1" spans="1:6">
      <c r="A63" s="191"/>
      <c r="C63" s="203"/>
      <c r="E63" s="60"/>
      <c r="F63" s="60"/>
    </row>
    <row r="64" customHeight="1" spans="1:6">
      <c r="A64" s="191"/>
      <c r="C64" s="203"/>
      <c r="E64" s="60"/>
      <c r="F64" s="60"/>
    </row>
    <row r="65" customHeight="1" spans="1:6">
      <c r="A65" s="191"/>
      <c r="C65" s="203"/>
      <c r="E65" s="60"/>
      <c r="F65" s="60"/>
    </row>
    <row r="66" customHeight="1" spans="1:6">
      <c r="A66" s="191"/>
      <c r="C66" s="203"/>
      <c r="E66" s="60"/>
      <c r="F66" s="60"/>
    </row>
    <row r="67" customHeight="1" spans="1:6">
      <c r="A67" s="191"/>
      <c r="C67" s="203"/>
      <c r="E67" s="60"/>
      <c r="F67" s="60"/>
    </row>
    <row r="68" customHeight="1" spans="1:6">
      <c r="A68" s="191"/>
      <c r="C68" s="203"/>
      <c r="E68" s="60"/>
      <c r="F68" s="60"/>
    </row>
    <row r="69" customHeight="1" spans="1:6">
      <c r="A69" s="191"/>
      <c r="C69" s="203"/>
      <c r="E69" s="60"/>
      <c r="F69" s="60"/>
    </row>
    <row r="70" customHeight="1" spans="1:6">
      <c r="A70" s="191"/>
      <c r="C70" s="203"/>
      <c r="E70" s="60"/>
      <c r="F70" s="60"/>
    </row>
    <row r="71" customHeight="1" spans="1:6">
      <c r="A71" s="191"/>
      <c r="C71" s="203"/>
      <c r="E71" s="60"/>
      <c r="F71" s="60"/>
    </row>
    <row r="72" customHeight="1" spans="1:6">
      <c r="A72" s="191"/>
      <c r="C72" s="203"/>
      <c r="E72" s="60"/>
      <c r="F72" s="60"/>
    </row>
    <row r="73" customHeight="1" spans="1:6">
      <c r="A73" s="191"/>
      <c r="C73" s="203"/>
      <c r="E73" s="60"/>
      <c r="F73" s="60"/>
    </row>
    <row r="74" customHeight="1" spans="1:6">
      <c r="A74" s="191"/>
      <c r="C74" s="203"/>
      <c r="E74" s="60"/>
      <c r="F74" s="60"/>
    </row>
    <row r="75" customHeight="1" spans="1:6">
      <c r="A75" s="191"/>
      <c r="C75" s="203"/>
      <c r="E75" s="60"/>
      <c r="F75" s="60"/>
    </row>
    <row r="76" customHeight="1" spans="1:6">
      <c r="A76" s="191"/>
      <c r="C76" s="203"/>
      <c r="E76" s="60"/>
      <c r="F76" s="60"/>
    </row>
    <row r="77" customHeight="1" spans="1:6">
      <c r="A77" s="191"/>
      <c r="C77" s="203"/>
      <c r="E77" s="60"/>
      <c r="F77" s="60"/>
    </row>
    <row r="78" customHeight="1" spans="1:6">
      <c r="A78" s="191"/>
      <c r="C78" s="203"/>
      <c r="E78" s="60"/>
      <c r="F78" s="60"/>
    </row>
    <row r="79" customHeight="1" spans="1:6">
      <c r="A79" s="191"/>
      <c r="C79" s="203"/>
      <c r="E79" s="60"/>
      <c r="F79" s="60"/>
    </row>
    <row r="80" customHeight="1" spans="1:6">
      <c r="A80" s="191"/>
      <c r="C80" s="203"/>
      <c r="E80" s="60"/>
      <c r="F80" s="60"/>
    </row>
    <row r="81" customHeight="1" spans="1:6">
      <c r="A81" s="191"/>
      <c r="C81" s="203"/>
      <c r="E81" s="60"/>
      <c r="F81" s="60"/>
    </row>
    <row r="82" customHeight="1" spans="1:6">
      <c r="A82" s="191"/>
      <c r="C82" s="203"/>
      <c r="E82" s="60"/>
      <c r="F82" s="60"/>
    </row>
    <row r="83" customHeight="1" spans="1:6">
      <c r="A83" s="191"/>
      <c r="C83" s="203"/>
      <c r="E83" s="60"/>
      <c r="F83" s="60"/>
    </row>
    <row r="84" customHeight="1" spans="1:6">
      <c r="A84" s="191"/>
      <c r="C84" s="203"/>
      <c r="E84" s="60"/>
      <c r="F84" s="60"/>
    </row>
    <row r="85" customHeight="1" spans="1:6">
      <c r="A85" s="191"/>
      <c r="C85" s="203"/>
      <c r="E85" s="60"/>
      <c r="F85" s="60"/>
    </row>
    <row r="86" customHeight="1" spans="1:6">
      <c r="A86" s="191"/>
      <c r="C86" s="203"/>
      <c r="E86" s="60"/>
      <c r="F86" s="60"/>
    </row>
    <row r="87" customHeight="1" spans="1:6">
      <c r="A87" s="191"/>
      <c r="C87" s="203"/>
      <c r="E87" s="60"/>
      <c r="F87" s="60"/>
    </row>
    <row r="88" customHeight="1" spans="1:6">
      <c r="A88" s="191"/>
      <c r="C88" s="203"/>
      <c r="E88" s="60"/>
      <c r="F88" s="60"/>
    </row>
    <row r="89" customHeight="1" spans="1:6">
      <c r="A89" s="191"/>
      <c r="C89" s="203"/>
      <c r="E89" s="60"/>
      <c r="F89" s="60"/>
    </row>
    <row r="90" customHeight="1" spans="1:6">
      <c r="A90" s="191"/>
      <c r="C90" s="203"/>
      <c r="E90" s="60"/>
      <c r="F90" s="60"/>
    </row>
    <row r="91" customHeight="1" spans="1:6">
      <c r="A91" s="191"/>
      <c r="C91" s="203"/>
      <c r="E91" s="60"/>
      <c r="F91" s="60"/>
    </row>
    <row r="92" customHeight="1" spans="1:6">
      <c r="A92" s="191"/>
      <c r="C92" s="203"/>
      <c r="E92" s="60"/>
      <c r="F92" s="60"/>
    </row>
    <row r="93" customHeight="1" spans="1:6">
      <c r="A93" s="191"/>
      <c r="C93" s="203"/>
      <c r="E93" s="60"/>
      <c r="F93" s="60"/>
    </row>
    <row r="94" customHeight="1" spans="1:6">
      <c r="A94" s="191"/>
      <c r="C94" s="203"/>
      <c r="E94" s="60"/>
      <c r="F94" s="60"/>
    </row>
    <row r="95" customHeight="1" spans="1:6">
      <c r="A95" s="191"/>
      <c r="C95" s="203"/>
      <c r="E95" s="60"/>
      <c r="F95" s="60"/>
    </row>
    <row r="96" customHeight="1" spans="1:6">
      <c r="A96" s="191"/>
      <c r="C96" s="203"/>
      <c r="E96" s="60"/>
      <c r="F96" s="60"/>
    </row>
    <row r="97" customHeight="1" spans="1:6">
      <c r="A97" s="191"/>
      <c r="C97" s="203"/>
      <c r="E97" s="60"/>
      <c r="F97" s="60"/>
    </row>
    <row r="98" customHeight="1" spans="1:6">
      <c r="A98" s="191"/>
      <c r="C98" s="203"/>
      <c r="E98" s="60"/>
      <c r="F98" s="60"/>
    </row>
    <row r="99" customHeight="1" spans="1:6">
      <c r="A99" s="191"/>
      <c r="C99" s="203"/>
      <c r="E99" s="60"/>
      <c r="F99" s="60"/>
    </row>
    <row r="100" customHeight="1" spans="1:6">
      <c r="A100" s="191"/>
      <c r="C100" s="203"/>
      <c r="E100" s="60"/>
      <c r="F100" s="60"/>
    </row>
    <row r="101" customHeight="1" spans="1:6">
      <c r="A101" s="191"/>
      <c r="C101" s="203"/>
      <c r="E101" s="60"/>
      <c r="F101" s="60"/>
    </row>
    <row r="102" customHeight="1" spans="1:6">
      <c r="A102" s="191"/>
      <c r="C102" s="203"/>
      <c r="E102" s="60"/>
      <c r="F102" s="60"/>
    </row>
    <row r="103" customHeight="1" spans="1:6">
      <c r="A103" s="191"/>
      <c r="C103" s="203"/>
      <c r="E103" s="60"/>
      <c r="F103" s="60"/>
    </row>
    <row r="104" customHeight="1" spans="1:6">
      <c r="A104" s="191"/>
      <c r="C104" s="203"/>
      <c r="E104" s="60"/>
      <c r="F104" s="60"/>
    </row>
    <row r="105" customHeight="1" spans="1:6">
      <c r="A105" s="191"/>
      <c r="C105" s="203"/>
      <c r="E105" s="60"/>
      <c r="F105" s="60"/>
    </row>
    <row r="106" customHeight="1" spans="1:6">
      <c r="A106" s="191"/>
      <c r="C106" s="203"/>
      <c r="E106" s="60"/>
      <c r="F106" s="60"/>
    </row>
    <row r="107" customHeight="1" spans="1:6">
      <c r="A107" s="191"/>
      <c r="C107" s="203"/>
      <c r="E107" s="60"/>
      <c r="F107" s="60"/>
    </row>
    <row r="108" customHeight="1" spans="1:6">
      <c r="A108" s="191"/>
      <c r="C108" s="203"/>
      <c r="E108" s="60"/>
      <c r="F108" s="60"/>
    </row>
    <row r="109" customHeight="1" spans="1:6">
      <c r="A109" s="191"/>
      <c r="C109" s="203"/>
      <c r="E109" s="60"/>
      <c r="F109" s="60"/>
    </row>
    <row r="110" customHeight="1" spans="1:6">
      <c r="A110" s="191"/>
      <c r="C110" s="203"/>
      <c r="E110" s="60"/>
      <c r="F110" s="60"/>
    </row>
    <row r="111" customHeight="1" spans="1:6">
      <c r="A111" s="191"/>
      <c r="C111" s="203"/>
      <c r="E111" s="60"/>
      <c r="F111" s="60"/>
    </row>
    <row r="112" customHeight="1" spans="1:6">
      <c r="A112" s="191"/>
      <c r="C112" s="203"/>
      <c r="E112" s="60"/>
      <c r="F112" s="60"/>
    </row>
    <row r="113" customHeight="1" spans="1:6">
      <c r="A113" s="191"/>
      <c r="C113" s="203"/>
      <c r="E113" s="60"/>
      <c r="F113" s="60"/>
    </row>
    <row r="114" customHeight="1" spans="1:6">
      <c r="A114" s="191"/>
      <c r="C114" s="203"/>
      <c r="E114" s="60"/>
      <c r="F114" s="60"/>
    </row>
    <row r="115" customHeight="1" spans="1:6">
      <c r="A115" s="191"/>
      <c r="C115" s="203"/>
      <c r="E115" s="60"/>
      <c r="F115" s="60"/>
    </row>
    <row r="116" customHeight="1" spans="1:6">
      <c r="A116" s="191"/>
      <c r="C116" s="203"/>
      <c r="E116" s="60"/>
      <c r="F116" s="60"/>
    </row>
    <row r="117" customHeight="1" spans="1:6">
      <c r="A117" s="191"/>
      <c r="C117" s="203"/>
      <c r="E117" s="60"/>
      <c r="F117" s="60"/>
    </row>
    <row r="118" customHeight="1" spans="1:6">
      <c r="A118" s="191"/>
      <c r="C118" s="203"/>
      <c r="E118" s="60"/>
      <c r="F118" s="60"/>
    </row>
    <row r="119" customHeight="1" spans="1:6">
      <c r="A119" s="191"/>
      <c r="C119" s="203"/>
      <c r="E119" s="60"/>
      <c r="F119" s="60"/>
    </row>
    <row r="120" customHeight="1" spans="1:6">
      <c r="A120" s="191"/>
      <c r="C120" s="203"/>
      <c r="E120" s="60"/>
      <c r="F120" s="60"/>
    </row>
    <row r="121" customHeight="1" spans="1:6">
      <c r="A121" s="191"/>
      <c r="C121" s="203"/>
      <c r="E121" s="60"/>
      <c r="F121" s="60"/>
    </row>
    <row r="122" customHeight="1" spans="1:6">
      <c r="A122" s="191"/>
      <c r="C122" s="203"/>
      <c r="E122" s="60"/>
      <c r="F122" s="60"/>
    </row>
    <row r="123" customHeight="1" spans="1:6">
      <c r="A123" s="191"/>
      <c r="C123" s="203"/>
      <c r="E123" s="60"/>
      <c r="F123" s="60"/>
    </row>
    <row r="124" customHeight="1" spans="1:6">
      <c r="A124" s="191"/>
      <c r="C124" s="203"/>
      <c r="E124" s="60"/>
      <c r="F124" s="60"/>
    </row>
    <row r="125" customHeight="1" spans="1:6">
      <c r="A125" s="191"/>
      <c r="C125" s="203"/>
      <c r="E125" s="60"/>
      <c r="F125" s="60"/>
    </row>
    <row r="126" customHeight="1" spans="1:6">
      <c r="A126" s="191"/>
      <c r="C126" s="203"/>
      <c r="E126" s="60"/>
      <c r="F126" s="60"/>
    </row>
    <row r="127" customHeight="1" spans="1:6">
      <c r="A127" s="191"/>
      <c r="C127" s="203"/>
      <c r="E127" s="60"/>
      <c r="F127" s="60"/>
    </row>
    <row r="128" customHeight="1" spans="1:6">
      <c r="A128" s="191"/>
      <c r="C128" s="203"/>
      <c r="E128" s="60"/>
      <c r="F128" s="60"/>
    </row>
    <row r="129" customHeight="1" spans="1:6">
      <c r="A129" s="191"/>
      <c r="C129" s="203"/>
      <c r="E129" s="60"/>
      <c r="F129" s="60"/>
    </row>
    <row r="130" customHeight="1" spans="1:6">
      <c r="A130" s="191"/>
      <c r="C130" s="203"/>
      <c r="E130" s="60"/>
      <c r="F130" s="60"/>
    </row>
    <row r="131" customHeight="1" spans="1:6">
      <c r="A131" s="191"/>
      <c r="C131" s="203"/>
      <c r="E131" s="60"/>
      <c r="F131" s="60"/>
    </row>
    <row r="132" customHeight="1" spans="1:6">
      <c r="A132" s="191"/>
      <c r="C132" s="203"/>
      <c r="E132" s="60"/>
      <c r="F132" s="60"/>
    </row>
    <row r="133" customHeight="1" spans="1:6">
      <c r="A133" s="191"/>
      <c r="C133" s="203"/>
      <c r="E133" s="60"/>
      <c r="F133" s="60"/>
    </row>
    <row r="134" customHeight="1" spans="1:6">
      <c r="A134" s="191"/>
      <c r="C134" s="203"/>
      <c r="E134" s="60"/>
      <c r="F134" s="60"/>
    </row>
    <row r="135" customHeight="1" spans="1:6">
      <c r="A135" s="191"/>
      <c r="C135" s="203"/>
      <c r="E135" s="60"/>
      <c r="F135" s="60"/>
    </row>
    <row r="136" customHeight="1" spans="1:6">
      <c r="A136" s="191"/>
      <c r="C136" s="203"/>
      <c r="E136" s="60"/>
      <c r="F136" s="60"/>
    </row>
    <row r="137" customHeight="1" spans="1:6">
      <c r="A137" s="191"/>
      <c r="C137" s="203"/>
      <c r="E137" s="60"/>
      <c r="F137" s="60"/>
    </row>
    <row r="138" customHeight="1" spans="1:6">
      <c r="A138" s="191"/>
      <c r="C138" s="203"/>
      <c r="E138" s="60"/>
      <c r="F138" s="60"/>
    </row>
    <row r="139" customHeight="1" spans="1:6">
      <c r="A139" s="191"/>
      <c r="C139" s="203"/>
      <c r="E139" s="60"/>
      <c r="F139" s="60"/>
    </row>
    <row r="140" customHeight="1" spans="1:6">
      <c r="A140" s="191"/>
      <c r="C140" s="203"/>
      <c r="E140" s="60"/>
      <c r="F140" s="60"/>
    </row>
    <row r="141" customHeight="1" spans="1:6">
      <c r="A141" s="191"/>
      <c r="C141" s="203"/>
      <c r="E141" s="60"/>
      <c r="F141" s="60"/>
    </row>
    <row r="142" customHeight="1" spans="1:6">
      <c r="A142" s="191"/>
      <c r="C142" s="203"/>
      <c r="E142" s="60"/>
      <c r="F142" s="60"/>
    </row>
    <row r="143" customHeight="1" spans="1:6">
      <c r="A143" s="191"/>
      <c r="C143" s="203"/>
      <c r="E143" s="60"/>
      <c r="F143" s="60"/>
    </row>
    <row r="144" customHeight="1" spans="1:6">
      <c r="A144" s="191"/>
      <c r="C144" s="203"/>
      <c r="E144" s="60"/>
      <c r="F144" s="60"/>
    </row>
    <row r="145" customHeight="1" spans="1:6">
      <c r="A145" s="191"/>
      <c r="C145" s="203"/>
      <c r="E145" s="60"/>
      <c r="F145" s="60"/>
    </row>
    <row r="146" customHeight="1" spans="1:6">
      <c r="A146" s="191"/>
      <c r="C146" s="203"/>
      <c r="E146" s="60"/>
      <c r="F146" s="60"/>
    </row>
    <row r="147" customHeight="1" spans="1:6">
      <c r="A147" s="191"/>
      <c r="C147" s="203"/>
      <c r="E147" s="60"/>
      <c r="F147" s="60"/>
    </row>
    <row r="148" customHeight="1" spans="1:6">
      <c r="A148" s="191"/>
      <c r="C148" s="203"/>
      <c r="E148" s="60"/>
      <c r="F148" s="60"/>
    </row>
    <row r="149" customHeight="1" spans="1:6">
      <c r="A149" s="191"/>
      <c r="C149" s="203"/>
      <c r="E149" s="60"/>
      <c r="F149" s="60"/>
    </row>
    <row r="150" customHeight="1" spans="1:6">
      <c r="A150" s="191"/>
      <c r="C150" s="203"/>
      <c r="E150" s="60"/>
      <c r="F150" s="60"/>
    </row>
    <row r="151" customHeight="1" spans="1:6">
      <c r="A151" s="191"/>
      <c r="C151" s="203"/>
      <c r="E151" s="60"/>
      <c r="F151" s="60"/>
    </row>
    <row r="152" customHeight="1" spans="1:6">
      <c r="A152" s="191"/>
      <c r="C152" s="203"/>
      <c r="E152" s="60"/>
      <c r="F152" s="60"/>
    </row>
    <row r="153" customHeight="1" spans="1:6">
      <c r="A153" s="191"/>
      <c r="C153" s="203"/>
      <c r="E153" s="60"/>
      <c r="F153" s="60"/>
    </row>
    <row r="154" customHeight="1" spans="1:6">
      <c r="A154" s="191"/>
      <c r="C154" s="203"/>
      <c r="E154" s="60"/>
      <c r="F154" s="60"/>
    </row>
    <row r="155" customHeight="1" spans="1:6">
      <c r="A155" s="191"/>
      <c r="C155" s="203"/>
      <c r="E155" s="60"/>
      <c r="F155" s="60"/>
    </row>
    <row r="156" customHeight="1" spans="1:6">
      <c r="A156" s="191"/>
      <c r="C156" s="203"/>
      <c r="E156" s="60"/>
      <c r="F156" s="60"/>
    </row>
    <row r="157" customHeight="1" spans="1:6">
      <c r="A157" s="191"/>
      <c r="C157" s="203"/>
      <c r="E157" s="60"/>
      <c r="F157" s="60"/>
    </row>
    <row r="158" customHeight="1" spans="1:6">
      <c r="A158" s="191"/>
      <c r="C158" s="203"/>
      <c r="E158" s="60"/>
      <c r="F158" s="60"/>
    </row>
    <row r="159" customHeight="1" spans="1:6">
      <c r="A159" s="191"/>
      <c r="C159" s="203"/>
      <c r="E159" s="60"/>
      <c r="F159" s="60"/>
    </row>
    <row r="160" customHeight="1" spans="1:6">
      <c r="A160" s="191"/>
      <c r="C160" s="203"/>
      <c r="E160" s="60"/>
      <c r="F160" s="60"/>
    </row>
    <row r="161" customHeight="1" spans="1:6">
      <c r="A161" s="191"/>
      <c r="C161" s="203"/>
      <c r="E161" s="60"/>
      <c r="F161" s="60"/>
    </row>
    <row r="162" customHeight="1" spans="1:6">
      <c r="A162" s="191"/>
      <c r="C162" s="203"/>
      <c r="E162" s="60"/>
      <c r="F162" s="60"/>
    </row>
    <row r="163" customHeight="1" spans="1:6">
      <c r="A163" s="191"/>
      <c r="C163" s="203"/>
      <c r="E163" s="60"/>
      <c r="F163" s="60"/>
    </row>
    <row r="164" customHeight="1" spans="1:6">
      <c r="A164" s="191"/>
      <c r="C164" s="203"/>
      <c r="E164" s="60"/>
      <c r="F164" s="60"/>
    </row>
    <row r="165" customHeight="1" spans="1:6">
      <c r="A165" s="191"/>
      <c r="C165" s="203"/>
      <c r="E165" s="60"/>
      <c r="F165" s="60"/>
    </row>
    <row r="166" customHeight="1" spans="1:6">
      <c r="A166" s="191"/>
      <c r="C166" s="203"/>
      <c r="E166" s="60"/>
      <c r="F166" s="60"/>
    </row>
    <row r="167" customHeight="1" spans="1:6">
      <c r="A167" s="191"/>
      <c r="C167" s="203"/>
      <c r="E167" s="60"/>
      <c r="F167" s="60"/>
    </row>
    <row r="168" customHeight="1" spans="1:6">
      <c r="A168" s="191"/>
      <c r="C168" s="203"/>
      <c r="E168" s="60"/>
      <c r="F168" s="60"/>
    </row>
    <row r="169" customHeight="1" spans="1:6">
      <c r="A169" s="191"/>
      <c r="C169" s="203"/>
      <c r="E169" s="60"/>
      <c r="F169" s="60"/>
    </row>
    <row r="170" customHeight="1" spans="1:6">
      <c r="A170" s="191"/>
      <c r="C170" s="203"/>
      <c r="E170" s="60"/>
      <c r="F170" s="60"/>
    </row>
    <row r="171" customHeight="1" spans="1:6">
      <c r="A171" s="191"/>
      <c r="C171" s="203"/>
      <c r="E171" s="60"/>
      <c r="F171" s="60"/>
    </row>
    <row r="172" customHeight="1" spans="1:6">
      <c r="A172" s="191"/>
      <c r="C172" s="203"/>
      <c r="E172" s="60"/>
      <c r="F172" s="60"/>
    </row>
    <row r="173" customHeight="1" spans="1:6">
      <c r="A173" s="191"/>
      <c r="C173" s="203"/>
      <c r="E173" s="60"/>
      <c r="F173" s="60"/>
    </row>
    <row r="174" customHeight="1" spans="1:6">
      <c r="A174" s="191"/>
      <c r="C174" s="203"/>
      <c r="E174" s="60"/>
      <c r="F174" s="60"/>
    </row>
    <row r="175" customHeight="1" spans="1:6">
      <c r="A175" s="191"/>
      <c r="C175" s="203"/>
      <c r="E175" s="60"/>
      <c r="F175" s="60"/>
    </row>
    <row r="176" customHeight="1" spans="1:6">
      <c r="A176" s="191"/>
      <c r="C176" s="203"/>
      <c r="E176" s="60"/>
      <c r="F176" s="60"/>
    </row>
    <row r="177" customHeight="1" spans="1:6">
      <c r="A177" s="191"/>
      <c r="C177" s="203"/>
      <c r="E177" s="60"/>
      <c r="F177" s="60"/>
    </row>
    <row r="178" customHeight="1" spans="1:6">
      <c r="A178" s="191"/>
      <c r="C178" s="203"/>
      <c r="E178" s="60"/>
      <c r="F178" s="60"/>
    </row>
    <row r="179" customHeight="1" spans="1:6">
      <c r="A179" s="191"/>
      <c r="C179" s="203"/>
      <c r="E179" s="60"/>
      <c r="F179" s="60"/>
    </row>
    <row r="180" customHeight="1" spans="1:6">
      <c r="A180" s="191"/>
      <c r="C180" s="203"/>
      <c r="E180" s="60"/>
      <c r="F180" s="60"/>
    </row>
    <row r="181" customHeight="1" spans="1:6">
      <c r="A181" s="191"/>
      <c r="C181" s="203"/>
      <c r="E181" s="60"/>
      <c r="F181" s="60"/>
    </row>
    <row r="182" customHeight="1" spans="1:6">
      <c r="A182" s="191"/>
      <c r="C182" s="203"/>
      <c r="E182" s="60"/>
      <c r="F182" s="60"/>
    </row>
    <row r="183" customHeight="1" spans="1:6">
      <c r="A183" s="191"/>
      <c r="C183" s="203"/>
      <c r="E183" s="60"/>
      <c r="F183" s="60"/>
    </row>
    <row r="184" customHeight="1" spans="1:6">
      <c r="A184" s="191"/>
      <c r="C184" s="203"/>
      <c r="E184" s="60"/>
      <c r="F184" s="60"/>
    </row>
    <row r="185" customHeight="1" spans="1:6">
      <c r="A185" s="191"/>
      <c r="C185" s="203"/>
      <c r="E185" s="60"/>
      <c r="F185" s="60"/>
    </row>
    <row r="186" customHeight="1" spans="1:6">
      <c r="A186" s="191"/>
      <c r="C186" s="203"/>
      <c r="E186" s="60"/>
      <c r="F186" s="60"/>
    </row>
    <row r="187" customHeight="1" spans="1:6">
      <c r="A187" s="191"/>
      <c r="C187" s="203"/>
      <c r="E187" s="60"/>
      <c r="F187" s="60"/>
    </row>
    <row r="188" customHeight="1" spans="1:6">
      <c r="A188" s="191"/>
      <c r="C188" s="203"/>
      <c r="E188" s="60"/>
      <c r="F188" s="60"/>
    </row>
    <row r="189" customHeight="1" spans="1:6">
      <c r="A189" s="191"/>
      <c r="C189" s="203"/>
      <c r="E189" s="60"/>
      <c r="F189" s="60"/>
    </row>
    <row r="190" customHeight="1" spans="1:6">
      <c r="A190" s="191"/>
      <c r="C190" s="203"/>
      <c r="E190" s="60"/>
      <c r="F190" s="60"/>
    </row>
    <row r="191" customHeight="1" spans="1:6">
      <c r="A191" s="191"/>
      <c r="C191" s="203"/>
      <c r="E191" s="60"/>
      <c r="F191" s="60"/>
    </row>
    <row r="192" customHeight="1" spans="1:6">
      <c r="A192" s="191"/>
      <c r="C192" s="203"/>
      <c r="E192" s="60"/>
      <c r="F192" s="60"/>
    </row>
    <row r="193" customHeight="1" spans="1:6">
      <c r="A193" s="191"/>
      <c r="C193" s="203"/>
      <c r="E193" s="60"/>
      <c r="F193" s="60"/>
    </row>
    <row r="194" customHeight="1" spans="1:6">
      <c r="A194" s="191"/>
      <c r="C194" s="203"/>
      <c r="E194" s="60"/>
      <c r="F194" s="60"/>
    </row>
    <row r="195" customHeight="1" spans="1:6">
      <c r="A195" s="191"/>
      <c r="C195" s="203"/>
      <c r="E195" s="60"/>
      <c r="F195" s="60"/>
    </row>
    <row r="196" customHeight="1" spans="1:6">
      <c r="A196" s="191"/>
      <c r="C196" s="203"/>
      <c r="E196" s="60"/>
      <c r="F196" s="60"/>
    </row>
    <row r="197" customHeight="1" spans="1:6">
      <c r="A197" s="191"/>
      <c r="C197" s="203"/>
      <c r="E197" s="60"/>
      <c r="F197" s="60"/>
    </row>
    <row r="198" customHeight="1" spans="1:6">
      <c r="A198" s="191"/>
      <c r="C198" s="203"/>
      <c r="E198" s="60"/>
      <c r="F198" s="60"/>
    </row>
    <row r="199" customHeight="1" spans="1:6">
      <c r="A199" s="191"/>
      <c r="C199" s="203"/>
      <c r="E199" s="60"/>
      <c r="F199" s="60"/>
    </row>
    <row r="200" customHeight="1" spans="1:7">
      <c r="A200" s="193"/>
      <c r="B200" s="194"/>
      <c r="C200" s="204"/>
      <c r="D200" s="194"/>
      <c r="E200" s="194"/>
      <c r="F200" s="194"/>
      <c r="G200" s="194"/>
    </row>
  </sheetData>
  <dataValidations count="3">
    <dataValidation type="list" allowBlank="1" showErrorMessage="1" sqref="A2:A200">
      <formula1>Agency</formula1>
    </dataValidation>
    <dataValidation type="list" allowBlank="1" showErrorMessage="1" sqref="C2:C200">
      <formula1>Delegate</formula1>
    </dataValidation>
    <dataValidation type="list" allowBlank="1" showErrorMessage="1" sqref="E2:F200">
      <formula1>Action</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41"/>
  <sheetViews>
    <sheetView workbookViewId="0">
      <pane ySplit="1" topLeftCell="A2" activePane="bottomLeft" state="frozen"/>
      <selection/>
      <selection pane="bottomLeft" activeCell="B3" sqref="B3"/>
    </sheetView>
  </sheetViews>
  <sheetFormatPr defaultColWidth="12.6272727272727" defaultRowHeight="15.75" customHeight="1"/>
  <cols>
    <col min="4" max="4" width="23.1272727272727" customWidth="1"/>
    <col min="7" max="7" width="13.2545454545455" customWidth="1"/>
  </cols>
  <sheetData>
    <row r="1" customHeight="1" spans="1:26">
      <c r="A1" s="35" t="s">
        <v>502</v>
      </c>
      <c r="B1" s="35" t="s">
        <v>3</v>
      </c>
      <c r="C1" s="35" t="s">
        <v>503</v>
      </c>
      <c r="D1" s="35" t="s">
        <v>4</v>
      </c>
      <c r="E1" s="35" t="s">
        <v>2</v>
      </c>
      <c r="F1" s="35" t="s">
        <v>1</v>
      </c>
      <c r="G1" s="35" t="s">
        <v>504</v>
      </c>
      <c r="H1" s="36"/>
      <c r="I1" s="36"/>
      <c r="J1" s="36"/>
      <c r="K1" s="36"/>
      <c r="L1" s="36"/>
      <c r="M1" s="36"/>
      <c r="N1" s="36"/>
      <c r="O1" s="36"/>
      <c r="P1" s="36"/>
      <c r="Q1" s="36"/>
      <c r="R1" s="36"/>
      <c r="S1" s="36"/>
      <c r="T1" s="36"/>
      <c r="U1" s="36"/>
      <c r="V1" s="36"/>
      <c r="W1" s="36"/>
      <c r="X1" s="36"/>
      <c r="Y1" s="36"/>
      <c r="Z1" s="36"/>
    </row>
    <row r="2" customHeight="1" spans="1:7">
      <c r="A2" s="9" t="s">
        <v>505</v>
      </c>
      <c r="B2" s="9" t="s">
        <v>505</v>
      </c>
      <c r="C2" s="9" t="s">
        <v>506</v>
      </c>
      <c r="D2" s="9" t="s">
        <v>505</v>
      </c>
      <c r="E2" s="9" t="s">
        <v>505</v>
      </c>
      <c r="F2" s="9" t="s">
        <v>505</v>
      </c>
      <c r="G2" s="9" t="s">
        <v>505</v>
      </c>
    </row>
    <row r="3" customHeight="1" spans="1:7">
      <c r="A3" s="185" t="s">
        <v>507</v>
      </c>
      <c r="B3" s="185" t="s">
        <v>508</v>
      </c>
      <c r="C3" s="186" t="s">
        <v>28</v>
      </c>
      <c r="D3" s="185" t="s">
        <v>54</v>
      </c>
      <c r="E3" s="187" t="s">
        <v>35</v>
      </c>
      <c r="F3" s="185" t="s">
        <v>31</v>
      </c>
      <c r="G3" s="185" t="s">
        <v>88</v>
      </c>
    </row>
    <row r="4" customHeight="1" spans="1:7">
      <c r="A4" s="188" t="s">
        <v>509</v>
      </c>
      <c r="B4" s="188" t="s">
        <v>497</v>
      </c>
      <c r="C4" s="189" t="s">
        <v>98</v>
      </c>
      <c r="D4" s="188" t="s">
        <v>115</v>
      </c>
      <c r="E4" s="187" t="s">
        <v>336</v>
      </c>
      <c r="F4" s="188" t="s">
        <v>34</v>
      </c>
      <c r="G4" s="188" t="s">
        <v>510</v>
      </c>
    </row>
    <row r="5" customHeight="1" spans="1:7">
      <c r="A5" s="188" t="s">
        <v>511</v>
      </c>
      <c r="B5" s="188" t="s">
        <v>512</v>
      </c>
      <c r="C5" s="189" t="s">
        <v>513</v>
      </c>
      <c r="D5" s="188" t="s">
        <v>514</v>
      </c>
      <c r="E5" s="9" t="s">
        <v>189</v>
      </c>
      <c r="F5" s="188" t="s">
        <v>442</v>
      </c>
      <c r="G5" s="188" t="s">
        <v>500</v>
      </c>
    </row>
    <row r="6" customHeight="1" spans="1:7">
      <c r="A6" s="188" t="s">
        <v>515</v>
      </c>
      <c r="B6" s="188" t="s">
        <v>516</v>
      </c>
      <c r="C6" s="189" t="s">
        <v>517</v>
      </c>
      <c r="D6" s="188" t="s">
        <v>298</v>
      </c>
      <c r="E6" s="9" t="s">
        <v>61</v>
      </c>
      <c r="F6" s="188" t="s">
        <v>147</v>
      </c>
      <c r="G6" s="188" t="s">
        <v>518</v>
      </c>
    </row>
    <row r="7" customHeight="1" spans="1:7">
      <c r="A7" s="188" t="s">
        <v>519</v>
      </c>
      <c r="B7" s="190"/>
      <c r="C7" s="191"/>
      <c r="D7" s="188" t="s">
        <v>449</v>
      </c>
      <c r="E7" s="9" t="s">
        <v>225</v>
      </c>
      <c r="F7" s="188" t="s">
        <v>27</v>
      </c>
      <c r="G7" s="188" t="s">
        <v>24</v>
      </c>
    </row>
    <row r="8" customHeight="1" spans="1:7">
      <c r="A8" s="188" t="s">
        <v>225</v>
      </c>
      <c r="B8" s="192"/>
      <c r="C8" s="193"/>
      <c r="D8" s="188" t="s">
        <v>29</v>
      </c>
      <c r="E8" s="9" t="s">
        <v>519</v>
      </c>
      <c r="F8" s="188" t="s">
        <v>219</v>
      </c>
      <c r="G8" s="188" t="s">
        <v>499</v>
      </c>
    </row>
    <row r="9" customHeight="1" spans="1:7">
      <c r="A9" s="190"/>
      <c r="D9" s="188" t="s">
        <v>122</v>
      </c>
      <c r="E9" s="194"/>
      <c r="F9" s="188" t="s">
        <v>60</v>
      </c>
      <c r="G9" s="188" t="s">
        <v>520</v>
      </c>
    </row>
    <row r="10" customHeight="1" spans="1:7">
      <c r="A10" s="190"/>
      <c r="D10" s="188" t="s">
        <v>521</v>
      </c>
      <c r="F10" s="188" t="s">
        <v>487</v>
      </c>
      <c r="G10" s="188" t="s">
        <v>522</v>
      </c>
    </row>
    <row r="11" customHeight="1" spans="1:7">
      <c r="A11" s="190"/>
      <c r="D11" s="188" t="s">
        <v>247</v>
      </c>
      <c r="F11" s="190"/>
      <c r="G11" s="188" t="s">
        <v>523</v>
      </c>
    </row>
    <row r="12" customHeight="1" spans="1:7">
      <c r="A12" s="190"/>
      <c r="D12" s="188" t="s">
        <v>524</v>
      </c>
      <c r="F12" s="190"/>
      <c r="G12" s="188" t="s">
        <v>525</v>
      </c>
    </row>
    <row r="13" customHeight="1" spans="1:7">
      <c r="A13" s="190"/>
      <c r="D13" s="188" t="s">
        <v>526</v>
      </c>
      <c r="F13" s="190"/>
      <c r="G13" s="188" t="s">
        <v>527</v>
      </c>
    </row>
    <row r="14" customHeight="1" spans="1:7">
      <c r="A14" s="190"/>
      <c r="D14" s="188" t="s">
        <v>280</v>
      </c>
      <c r="F14" s="190"/>
      <c r="G14" s="188" t="s">
        <v>528</v>
      </c>
    </row>
    <row r="15" customHeight="1" spans="1:7">
      <c r="A15" s="190"/>
      <c r="D15" s="188" t="s">
        <v>367</v>
      </c>
      <c r="F15" s="192"/>
      <c r="G15" s="188" t="s">
        <v>529</v>
      </c>
    </row>
    <row r="16" customHeight="1" spans="1:7">
      <c r="A16" s="190"/>
      <c r="D16" s="188" t="s">
        <v>190</v>
      </c>
      <c r="G16" s="188" t="s">
        <v>530</v>
      </c>
    </row>
    <row r="17" customHeight="1" spans="1:7">
      <c r="A17" s="190"/>
      <c r="D17" s="188" t="s">
        <v>409</v>
      </c>
      <c r="G17" s="190"/>
    </row>
    <row r="18" customHeight="1" spans="1:7">
      <c r="A18" s="190"/>
      <c r="D18" s="188" t="s">
        <v>208</v>
      </c>
      <c r="G18" s="190"/>
    </row>
    <row r="19" customHeight="1" spans="1:7">
      <c r="A19" s="190"/>
      <c r="D19" s="188" t="s">
        <v>130</v>
      </c>
      <c r="G19" s="190"/>
    </row>
    <row r="20" customHeight="1" spans="1:7">
      <c r="A20" s="190"/>
      <c r="D20" s="188" t="s">
        <v>150</v>
      </c>
      <c r="G20" s="190"/>
    </row>
    <row r="21" customHeight="1" spans="1:7">
      <c r="A21" s="190"/>
      <c r="D21" s="188" t="s">
        <v>291</v>
      </c>
      <c r="G21" s="190"/>
    </row>
    <row r="22" customHeight="1" spans="1:7">
      <c r="A22" s="190"/>
      <c r="D22" s="188" t="s">
        <v>88</v>
      </c>
      <c r="G22" s="190"/>
    </row>
    <row r="23" customHeight="1" spans="1:7">
      <c r="A23" s="190"/>
      <c r="D23" s="188" t="s">
        <v>157</v>
      </c>
      <c r="G23" s="190"/>
    </row>
    <row r="24" customHeight="1" spans="1:7">
      <c r="A24" s="190"/>
      <c r="D24" s="188" t="s">
        <v>531</v>
      </c>
      <c r="G24" s="190"/>
    </row>
    <row r="25" customHeight="1" spans="1:7">
      <c r="A25" s="190"/>
      <c r="D25" s="188" t="s">
        <v>36</v>
      </c>
      <c r="G25" s="190"/>
    </row>
    <row r="26" customHeight="1" spans="1:7">
      <c r="A26" s="190"/>
      <c r="D26" s="188" t="s">
        <v>532</v>
      </c>
      <c r="G26" s="190"/>
    </row>
    <row r="27" customHeight="1" spans="1:7">
      <c r="A27" s="192"/>
      <c r="D27" s="188" t="s">
        <v>533</v>
      </c>
      <c r="G27" s="190"/>
    </row>
    <row r="28" customHeight="1" spans="4:7">
      <c r="D28" s="188" t="s">
        <v>163</v>
      </c>
      <c r="G28" s="190"/>
    </row>
    <row r="29" customHeight="1" spans="4:7">
      <c r="D29" s="188" t="s">
        <v>534</v>
      </c>
      <c r="G29" s="190"/>
    </row>
    <row r="30" customHeight="1" spans="4:7">
      <c r="D30" s="188" t="s">
        <v>535</v>
      </c>
      <c r="G30" s="190"/>
    </row>
    <row r="31" customHeight="1" spans="4:7">
      <c r="D31" s="188" t="s">
        <v>251</v>
      </c>
      <c r="G31" s="190"/>
    </row>
    <row r="32" customHeight="1" spans="4:7">
      <c r="D32" s="188" t="s">
        <v>536</v>
      </c>
      <c r="G32" s="192"/>
    </row>
    <row r="33" customHeight="1" spans="4:4">
      <c r="D33" s="190"/>
    </row>
    <row r="34" customHeight="1" spans="4:4">
      <c r="D34" s="190"/>
    </row>
    <row r="35" customHeight="1" spans="4:4">
      <c r="D35" s="190"/>
    </row>
    <row r="36" customHeight="1" spans="4:4">
      <c r="D36" s="190"/>
    </row>
    <row r="37" customHeight="1" spans="4:4">
      <c r="D37" s="190"/>
    </row>
    <row r="38" customHeight="1" spans="4:4">
      <c r="D38" s="190"/>
    </row>
    <row r="39" customHeight="1" spans="4:4">
      <c r="D39" s="190"/>
    </row>
    <row r="40" customHeight="1" spans="4:4">
      <c r="D40" s="190"/>
    </row>
    <row r="41" customHeight="1" spans="4:4">
      <c r="D41" s="19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K56"/>
  <sheetViews>
    <sheetView workbookViewId="0">
      <pane xSplit="1" ySplit="1" topLeftCell="B2" activePane="bottomRight" state="frozen"/>
      <selection/>
      <selection pane="topRight"/>
      <selection pane="bottomLeft"/>
      <selection pane="bottomRight" activeCell="B2" sqref="B2"/>
    </sheetView>
  </sheetViews>
  <sheetFormatPr defaultColWidth="12.6272727272727" defaultRowHeight="15.75" customHeight="1"/>
  <cols>
    <col min="1" max="1" width="15" customWidth="1"/>
    <col min="2" max="2" width="9.88181818181818" customWidth="1"/>
    <col min="3" max="3" width="7.38181818181818" customWidth="1"/>
    <col min="4" max="4" width="4.5" customWidth="1"/>
    <col min="5" max="5" width="14.5" customWidth="1"/>
    <col min="6" max="6" width="8.62727272727273" customWidth="1"/>
    <col min="7" max="7" width="20.6272727272727" customWidth="1"/>
    <col min="8" max="8" width="7.75454545454545" customWidth="1"/>
    <col min="9" max="9" width="13.6272727272727" customWidth="1"/>
    <col min="10" max="10" width="18.1272727272727" customWidth="1"/>
    <col min="11" max="11" width="18.7545454545455" customWidth="1"/>
    <col min="12" max="12" width="12.3818181818182" customWidth="1"/>
    <col min="13" max="13" width="20.7545454545455" customWidth="1"/>
    <col min="15" max="15" width="15.5" customWidth="1"/>
    <col min="17" max="17" width="3.75454545454545" customWidth="1"/>
    <col min="18" max="18" width="11.7545454545455" customWidth="1"/>
    <col min="19" max="19" width="3.75454545454545" customWidth="1"/>
    <col min="21" max="22" width="3.75454545454545" customWidth="1"/>
  </cols>
  <sheetData>
    <row r="1" customHeight="1" spans="1:37">
      <c r="A1" s="149" t="s">
        <v>31</v>
      </c>
      <c r="B1" s="149" t="s">
        <v>2</v>
      </c>
      <c r="C1" s="149" t="s">
        <v>3</v>
      </c>
      <c r="D1" s="150" t="s">
        <v>537</v>
      </c>
      <c r="E1" s="149" t="s">
        <v>538</v>
      </c>
      <c r="F1" s="151" t="s">
        <v>539</v>
      </c>
      <c r="G1" s="149" t="s">
        <v>8</v>
      </c>
      <c r="H1" s="152" t="s">
        <v>11</v>
      </c>
      <c r="I1" s="149" t="s">
        <v>540</v>
      </c>
      <c r="J1" s="149" t="s">
        <v>12</v>
      </c>
      <c r="K1" s="149" t="s">
        <v>10</v>
      </c>
      <c r="L1" s="149" t="s">
        <v>541</v>
      </c>
      <c r="M1" s="149" t="s">
        <v>17</v>
      </c>
      <c r="N1" s="149" t="s">
        <v>18</v>
      </c>
      <c r="O1" s="149" t="s">
        <v>6</v>
      </c>
      <c r="P1" s="149" t="s">
        <v>20</v>
      </c>
      <c r="Q1" s="173" t="s">
        <v>492</v>
      </c>
      <c r="R1" s="173" t="s">
        <v>22</v>
      </c>
      <c r="S1" s="149" t="s">
        <v>492</v>
      </c>
      <c r="T1" s="149" t="s">
        <v>542</v>
      </c>
      <c r="U1" s="149" t="s">
        <v>492</v>
      </c>
      <c r="V1" s="149" t="s">
        <v>492</v>
      </c>
      <c r="W1" s="149" t="s">
        <v>543</v>
      </c>
      <c r="X1" s="149" t="s">
        <v>544</v>
      </c>
      <c r="Y1" s="149" t="s">
        <v>23</v>
      </c>
      <c r="Z1" s="149" t="s">
        <v>24</v>
      </c>
      <c r="AA1" s="149" t="s">
        <v>545</v>
      </c>
      <c r="AB1" s="149" t="s">
        <v>25</v>
      </c>
      <c r="AC1" s="36"/>
      <c r="AD1" s="36"/>
      <c r="AE1" s="36"/>
      <c r="AF1" s="36"/>
      <c r="AG1" s="36"/>
      <c r="AH1" s="36"/>
      <c r="AI1" s="36"/>
      <c r="AJ1" s="36"/>
      <c r="AK1" s="36"/>
    </row>
    <row r="2" customHeight="1" spans="1:37">
      <c r="A2" s="153" t="s">
        <v>546</v>
      </c>
      <c r="B2" s="153" t="s">
        <v>35</v>
      </c>
      <c r="C2" s="153" t="s">
        <v>28</v>
      </c>
      <c r="D2" s="154"/>
      <c r="E2" s="153" t="s">
        <v>547</v>
      </c>
      <c r="F2" s="153"/>
      <c r="G2" s="153" t="s">
        <v>548</v>
      </c>
      <c r="H2" s="153" t="s">
        <v>549</v>
      </c>
      <c r="I2" s="159" t="s">
        <v>242</v>
      </c>
      <c r="J2" s="153" t="s">
        <v>550</v>
      </c>
      <c r="K2" s="153" t="s">
        <v>551</v>
      </c>
      <c r="L2" s="153"/>
      <c r="M2" s="159" t="s">
        <v>243</v>
      </c>
      <c r="N2" s="153"/>
      <c r="O2" s="153" t="s">
        <v>244</v>
      </c>
      <c r="P2" s="153"/>
      <c r="Q2" s="174"/>
      <c r="R2" s="174"/>
      <c r="S2" s="154"/>
      <c r="T2" s="153"/>
      <c r="U2" s="154"/>
      <c r="V2" s="154">
        <v>45471</v>
      </c>
      <c r="W2" s="153" t="s">
        <v>552</v>
      </c>
      <c r="X2" s="153" t="s">
        <v>29</v>
      </c>
      <c r="Y2" s="182">
        <v>45484</v>
      </c>
      <c r="Z2" s="153"/>
      <c r="AA2" s="153"/>
      <c r="AB2" s="153" t="s">
        <v>245</v>
      </c>
      <c r="AC2" s="155"/>
      <c r="AD2" s="155"/>
      <c r="AE2" s="155"/>
      <c r="AF2" s="155"/>
      <c r="AG2" s="155"/>
      <c r="AH2" s="155"/>
      <c r="AI2" s="155"/>
      <c r="AJ2" s="155"/>
      <c r="AK2" s="155"/>
    </row>
    <row r="3" customHeight="1" spans="1:37">
      <c r="A3" s="153" t="s">
        <v>33</v>
      </c>
      <c r="B3" s="153" t="s">
        <v>35</v>
      </c>
      <c r="C3" s="153" t="s">
        <v>28</v>
      </c>
      <c r="D3" s="154"/>
      <c r="E3" s="153" t="s">
        <v>37</v>
      </c>
      <c r="F3" s="153"/>
      <c r="G3" s="153" t="s">
        <v>38</v>
      </c>
      <c r="H3" s="155"/>
      <c r="I3" s="153" t="s">
        <v>40</v>
      </c>
      <c r="J3" s="164" t="s">
        <v>553</v>
      </c>
      <c r="K3" s="347" t="s">
        <v>554</v>
      </c>
      <c r="L3" s="164" t="s">
        <v>555</v>
      </c>
      <c r="M3" s="153"/>
      <c r="N3" s="153" t="s">
        <v>556</v>
      </c>
      <c r="O3" s="155"/>
      <c r="P3" s="153"/>
      <c r="Q3" s="175">
        <v>45573</v>
      </c>
      <c r="R3" s="176" t="s">
        <v>41</v>
      </c>
      <c r="S3" s="154">
        <v>45547</v>
      </c>
      <c r="T3" s="153" t="s">
        <v>557</v>
      </c>
      <c r="U3" s="154">
        <v>45523</v>
      </c>
      <c r="V3" s="154">
        <v>45488</v>
      </c>
      <c r="W3" s="153" t="s">
        <v>164</v>
      </c>
      <c r="X3" s="153" t="s">
        <v>558</v>
      </c>
      <c r="Y3" s="153"/>
      <c r="Z3" s="153"/>
      <c r="AA3" s="153"/>
      <c r="AB3" s="153" t="s">
        <v>43</v>
      </c>
      <c r="AC3" s="155"/>
      <c r="AD3" s="155"/>
      <c r="AE3" s="155"/>
      <c r="AF3" s="155"/>
      <c r="AG3" s="155"/>
      <c r="AH3" s="155"/>
      <c r="AI3" s="155"/>
      <c r="AJ3" s="155"/>
      <c r="AK3" s="155"/>
    </row>
    <row r="4" customHeight="1" spans="1:37">
      <c r="A4" s="153" t="s">
        <v>44</v>
      </c>
      <c r="B4" s="153" t="s">
        <v>35</v>
      </c>
      <c r="C4" s="153" t="s">
        <v>28</v>
      </c>
      <c r="D4" s="156">
        <v>5</v>
      </c>
      <c r="E4" s="153" t="s">
        <v>559</v>
      </c>
      <c r="F4" s="153"/>
      <c r="G4" s="153" t="s">
        <v>45</v>
      </c>
      <c r="H4" s="155"/>
      <c r="I4" s="159" t="s">
        <v>560</v>
      </c>
      <c r="J4" s="165" t="s">
        <v>561</v>
      </c>
      <c r="K4" s="158" t="s">
        <v>46</v>
      </c>
      <c r="L4" s="157"/>
      <c r="M4" s="159" t="s">
        <v>47</v>
      </c>
      <c r="N4" s="153" t="s">
        <v>562</v>
      </c>
      <c r="O4" s="153" t="s">
        <v>48</v>
      </c>
      <c r="P4" s="153" t="s">
        <v>49</v>
      </c>
      <c r="Q4" s="174"/>
      <c r="R4" s="176" t="s">
        <v>41</v>
      </c>
      <c r="S4" s="154">
        <v>45547</v>
      </c>
      <c r="T4" s="153" t="s">
        <v>557</v>
      </c>
      <c r="U4" s="154"/>
      <c r="V4" s="154">
        <v>45488</v>
      </c>
      <c r="W4" s="153"/>
      <c r="X4" s="153" t="s">
        <v>563</v>
      </c>
      <c r="Y4" s="181">
        <v>45311</v>
      </c>
      <c r="Z4" s="153"/>
      <c r="AA4" s="153"/>
      <c r="AB4" s="153" t="s">
        <v>50</v>
      </c>
      <c r="AC4" s="155"/>
      <c r="AD4" s="155"/>
      <c r="AE4" s="155"/>
      <c r="AF4" s="155"/>
      <c r="AG4" s="155"/>
      <c r="AH4" s="155"/>
      <c r="AI4" s="155"/>
      <c r="AJ4" s="155"/>
      <c r="AK4" s="155"/>
    </row>
    <row r="5" customHeight="1" spans="1:37">
      <c r="A5" s="153" t="s">
        <v>53</v>
      </c>
      <c r="B5" s="153" t="s">
        <v>35</v>
      </c>
      <c r="C5" s="153" t="s">
        <v>28</v>
      </c>
      <c r="D5" s="156">
        <v>4</v>
      </c>
      <c r="E5" s="153" t="s">
        <v>564</v>
      </c>
      <c r="F5" s="153"/>
      <c r="G5" s="153" t="s">
        <v>55</v>
      </c>
      <c r="H5" s="155"/>
      <c r="I5" s="153"/>
      <c r="J5" s="153" t="s">
        <v>565</v>
      </c>
      <c r="K5" s="158" t="s">
        <v>56</v>
      </c>
      <c r="L5" s="153" t="s">
        <v>566</v>
      </c>
      <c r="M5" s="153"/>
      <c r="N5" s="153"/>
      <c r="O5" s="153" t="s">
        <v>567</v>
      </c>
      <c r="P5" s="153"/>
      <c r="Q5" s="174"/>
      <c r="R5" s="176" t="s">
        <v>41</v>
      </c>
      <c r="S5" s="154">
        <v>45547</v>
      </c>
      <c r="T5" s="153" t="s">
        <v>557</v>
      </c>
      <c r="U5" s="154"/>
      <c r="V5" s="154">
        <v>45488</v>
      </c>
      <c r="W5" s="153" t="s">
        <v>568</v>
      </c>
      <c r="X5" s="153" t="s">
        <v>569</v>
      </c>
      <c r="Y5" s="180"/>
      <c r="Z5" s="153"/>
      <c r="AA5" s="153"/>
      <c r="AB5" s="153" t="s">
        <v>58</v>
      </c>
      <c r="AC5" s="155"/>
      <c r="AD5" s="155"/>
      <c r="AE5" s="155"/>
      <c r="AF5" s="155"/>
      <c r="AG5" s="155"/>
      <c r="AH5" s="155"/>
      <c r="AI5" s="155"/>
      <c r="AJ5" s="155"/>
      <c r="AK5" s="155"/>
    </row>
    <row r="6" customHeight="1" spans="1:37">
      <c r="A6" s="153" t="s">
        <v>570</v>
      </c>
      <c r="B6" s="153" t="s">
        <v>35</v>
      </c>
      <c r="C6" s="153" t="s">
        <v>98</v>
      </c>
      <c r="D6" s="156">
        <v>1</v>
      </c>
      <c r="E6" s="157"/>
      <c r="F6" s="157"/>
      <c r="G6" s="153" t="s">
        <v>99</v>
      </c>
      <c r="H6" s="155"/>
      <c r="I6" s="159" t="s">
        <v>101</v>
      </c>
      <c r="J6" s="153"/>
      <c r="K6" s="157" t="s">
        <v>100</v>
      </c>
      <c r="L6" s="153"/>
      <c r="M6" s="153"/>
      <c r="N6" s="153"/>
      <c r="O6" s="153"/>
      <c r="P6" s="153" t="s">
        <v>102</v>
      </c>
      <c r="Q6" s="174"/>
      <c r="R6" s="177" t="s">
        <v>103</v>
      </c>
      <c r="S6" s="154">
        <v>45547</v>
      </c>
      <c r="T6" s="153" t="s">
        <v>571</v>
      </c>
      <c r="U6" s="154"/>
      <c r="V6" s="154">
        <v>45488</v>
      </c>
      <c r="W6" s="153" t="s">
        <v>572</v>
      </c>
      <c r="X6" s="153" t="s">
        <v>88</v>
      </c>
      <c r="Y6" s="153"/>
      <c r="Z6" s="153"/>
      <c r="AA6" s="153"/>
      <c r="AB6" s="153" t="s">
        <v>105</v>
      </c>
      <c r="AC6" s="155"/>
      <c r="AD6" s="155"/>
      <c r="AE6" s="155"/>
      <c r="AF6" s="155"/>
      <c r="AG6" s="155"/>
      <c r="AH6" s="155"/>
      <c r="AI6" s="155"/>
      <c r="AJ6" s="155"/>
      <c r="AK6" s="155"/>
    </row>
    <row r="7" customHeight="1" spans="1:37">
      <c r="A7" s="153" t="s">
        <v>106</v>
      </c>
      <c r="B7" s="153" t="s">
        <v>35</v>
      </c>
      <c r="C7" s="153" t="s">
        <v>28</v>
      </c>
      <c r="D7" s="156">
        <v>2</v>
      </c>
      <c r="E7" s="153" t="s">
        <v>573</v>
      </c>
      <c r="F7" s="153"/>
      <c r="G7" s="153" t="s">
        <v>574</v>
      </c>
      <c r="H7" s="155"/>
      <c r="I7" s="153"/>
      <c r="J7" s="153" t="s">
        <v>575</v>
      </c>
      <c r="K7" s="153" t="s">
        <v>576</v>
      </c>
      <c r="L7" s="153"/>
      <c r="M7" s="153"/>
      <c r="N7" s="166" t="s">
        <v>109</v>
      </c>
      <c r="O7" s="153" t="s">
        <v>110</v>
      </c>
      <c r="P7" s="153" t="s">
        <v>111</v>
      </c>
      <c r="Q7" s="174"/>
      <c r="R7" s="177" t="s">
        <v>112</v>
      </c>
      <c r="S7" s="154">
        <v>45547</v>
      </c>
      <c r="T7" s="153" t="s">
        <v>557</v>
      </c>
      <c r="U7" s="154"/>
      <c r="V7" s="154">
        <v>45488</v>
      </c>
      <c r="W7" s="153" t="s">
        <v>572</v>
      </c>
      <c r="X7" s="153" t="s">
        <v>577</v>
      </c>
      <c r="Y7" s="181">
        <v>45311</v>
      </c>
      <c r="Z7" s="153"/>
      <c r="AA7" s="153"/>
      <c r="AB7" s="153" t="s">
        <v>113</v>
      </c>
      <c r="AC7" s="155"/>
      <c r="AD7" s="155"/>
      <c r="AE7" s="155"/>
      <c r="AF7" s="155"/>
      <c r="AG7" s="155"/>
      <c r="AH7" s="155"/>
      <c r="AI7" s="155"/>
      <c r="AJ7" s="155"/>
      <c r="AK7" s="155"/>
    </row>
    <row r="8" customHeight="1" spans="1:37">
      <c r="A8" s="153" t="s">
        <v>578</v>
      </c>
      <c r="B8" s="153" t="s">
        <v>35</v>
      </c>
      <c r="C8" s="153" t="s">
        <v>28</v>
      </c>
      <c r="D8" s="156">
        <v>1</v>
      </c>
      <c r="E8" s="153"/>
      <c r="F8" s="153"/>
      <c r="G8" s="153" t="s">
        <v>579</v>
      </c>
      <c r="H8" s="155"/>
      <c r="I8" s="167"/>
      <c r="J8" s="153" t="s">
        <v>134</v>
      </c>
      <c r="K8" s="153" t="s">
        <v>580</v>
      </c>
      <c r="L8" s="153" t="s">
        <v>134</v>
      </c>
      <c r="M8" s="167" t="s">
        <v>138</v>
      </c>
      <c r="N8" s="153"/>
      <c r="O8" s="153"/>
      <c r="P8" s="153" t="s">
        <v>581</v>
      </c>
      <c r="Q8" s="174"/>
      <c r="R8" s="174"/>
      <c r="S8" s="154">
        <v>45547</v>
      </c>
      <c r="T8" s="153" t="s">
        <v>557</v>
      </c>
      <c r="U8" s="154"/>
      <c r="V8" s="154">
        <v>45467</v>
      </c>
      <c r="W8" s="153"/>
      <c r="X8" s="153" t="s">
        <v>29</v>
      </c>
      <c r="Y8" s="154">
        <v>45310</v>
      </c>
      <c r="Z8" s="153" t="s">
        <v>141</v>
      </c>
      <c r="AA8" s="153"/>
      <c r="AB8" s="153" t="s">
        <v>142</v>
      </c>
      <c r="AC8" s="155"/>
      <c r="AD8" s="155"/>
      <c r="AE8" s="155"/>
      <c r="AF8" s="155"/>
      <c r="AG8" s="155"/>
      <c r="AH8" s="155"/>
      <c r="AI8" s="155"/>
      <c r="AJ8" s="155"/>
      <c r="AK8" s="155"/>
    </row>
    <row r="9" customHeight="1" spans="1:37">
      <c r="A9" s="153" t="s">
        <v>143</v>
      </c>
      <c r="B9" s="153" t="s">
        <v>35</v>
      </c>
      <c r="C9" s="155" t="s">
        <v>28</v>
      </c>
      <c r="D9" s="154"/>
      <c r="E9" s="153"/>
      <c r="F9" s="153"/>
      <c r="G9" s="155"/>
      <c r="H9" s="155"/>
      <c r="I9" s="155"/>
      <c r="J9" s="155"/>
      <c r="K9" s="153"/>
      <c r="L9" s="155"/>
      <c r="M9" s="155"/>
      <c r="N9" s="155"/>
      <c r="O9" s="155"/>
      <c r="P9" s="155"/>
      <c r="Q9" s="174"/>
      <c r="R9" s="174"/>
      <c r="S9" s="154">
        <v>45547</v>
      </c>
      <c r="T9" s="153" t="s">
        <v>557</v>
      </c>
      <c r="U9" s="154"/>
      <c r="V9" s="154">
        <v>45471</v>
      </c>
      <c r="W9" s="155"/>
      <c r="X9" s="155"/>
      <c r="Y9" s="155"/>
      <c r="Z9" s="155"/>
      <c r="AA9" s="155"/>
      <c r="AB9" s="155"/>
      <c r="AC9" s="155"/>
      <c r="AD9" s="155"/>
      <c r="AE9" s="155"/>
      <c r="AF9" s="155"/>
      <c r="AG9" s="155"/>
      <c r="AH9" s="155"/>
      <c r="AI9" s="155"/>
      <c r="AJ9" s="155"/>
      <c r="AK9" s="155"/>
    </row>
    <row r="10" customHeight="1" spans="1:37">
      <c r="A10" s="153" t="s">
        <v>149</v>
      </c>
      <c r="B10" s="153" t="s">
        <v>35</v>
      </c>
      <c r="C10" s="153" t="s">
        <v>28</v>
      </c>
      <c r="D10" s="154"/>
      <c r="E10" s="153"/>
      <c r="F10" s="153"/>
      <c r="G10" s="153" t="s">
        <v>151</v>
      </c>
      <c r="H10" s="155"/>
      <c r="I10" s="153"/>
      <c r="J10" s="153" t="s">
        <v>582</v>
      </c>
      <c r="K10" s="158" t="s">
        <v>583</v>
      </c>
      <c r="L10" s="153" t="s">
        <v>584</v>
      </c>
      <c r="M10" s="159" t="s">
        <v>585</v>
      </c>
      <c r="N10" s="153"/>
      <c r="O10" s="153" t="s">
        <v>155</v>
      </c>
      <c r="P10" s="153"/>
      <c r="Q10" s="154"/>
      <c r="R10" s="154"/>
      <c r="S10" s="154"/>
      <c r="T10" s="153"/>
      <c r="U10" s="154"/>
      <c r="V10" s="154"/>
      <c r="W10" s="153"/>
      <c r="X10" s="153"/>
      <c r="Y10" s="154"/>
      <c r="Z10" s="153"/>
      <c r="AA10" s="153"/>
      <c r="AB10" s="153"/>
      <c r="AC10" s="155"/>
      <c r="AD10" s="155"/>
      <c r="AE10" s="155"/>
      <c r="AF10" s="155"/>
      <c r="AG10" s="155"/>
      <c r="AH10" s="155"/>
      <c r="AI10" s="155"/>
      <c r="AJ10" s="155"/>
      <c r="AK10" s="155"/>
    </row>
    <row r="11" customHeight="1" spans="1:37">
      <c r="A11" s="153" t="s">
        <v>156</v>
      </c>
      <c r="B11" s="153" t="s">
        <v>35</v>
      </c>
      <c r="C11" s="153" t="s">
        <v>28</v>
      </c>
      <c r="D11" s="154"/>
      <c r="E11" s="153"/>
      <c r="F11" s="153"/>
      <c r="G11" s="153" t="s">
        <v>159</v>
      </c>
      <c r="H11" s="155"/>
      <c r="I11" s="159" t="s">
        <v>162</v>
      </c>
      <c r="J11" s="153" t="s">
        <v>586</v>
      </c>
      <c r="K11" s="158" t="s">
        <v>160</v>
      </c>
      <c r="L11" s="153"/>
      <c r="M11" s="159" t="s">
        <v>162</v>
      </c>
      <c r="N11" s="153"/>
      <c r="O11" s="153" t="s">
        <v>163</v>
      </c>
      <c r="P11" s="153" t="s">
        <v>164</v>
      </c>
      <c r="Q11" s="174"/>
      <c r="R11" s="174"/>
      <c r="S11" s="154">
        <v>45547</v>
      </c>
      <c r="T11" s="153" t="s">
        <v>557</v>
      </c>
      <c r="U11" s="154"/>
      <c r="V11" s="154">
        <v>45467</v>
      </c>
      <c r="W11" s="153"/>
      <c r="X11" s="153" t="s">
        <v>499</v>
      </c>
      <c r="Y11" s="154">
        <v>45311</v>
      </c>
      <c r="Z11" s="153"/>
      <c r="AA11" s="153"/>
      <c r="AB11" s="153" t="s">
        <v>165</v>
      </c>
      <c r="AC11" s="155"/>
      <c r="AD11" s="155"/>
      <c r="AE11" s="155"/>
      <c r="AF11" s="155"/>
      <c r="AG11" s="155"/>
      <c r="AH11" s="155"/>
      <c r="AI11" s="155"/>
      <c r="AJ11" s="155"/>
      <c r="AK11" s="155"/>
    </row>
    <row r="12" customHeight="1" spans="1:37">
      <c r="A12" s="153" t="s">
        <v>166</v>
      </c>
      <c r="B12" s="153" t="s">
        <v>35</v>
      </c>
      <c r="C12" s="153" t="s">
        <v>98</v>
      </c>
      <c r="D12" s="154"/>
      <c r="E12" s="153"/>
      <c r="F12" s="153"/>
      <c r="G12" s="153" t="s">
        <v>167</v>
      </c>
      <c r="H12" s="155"/>
      <c r="I12" s="153"/>
      <c r="J12" s="153" t="s">
        <v>587</v>
      </c>
      <c r="K12" s="153" t="s">
        <v>588</v>
      </c>
      <c r="L12" s="153" t="s">
        <v>169</v>
      </c>
      <c r="M12" s="153"/>
      <c r="N12" s="153"/>
      <c r="O12" s="153" t="s">
        <v>171</v>
      </c>
      <c r="P12" s="153" t="s">
        <v>172</v>
      </c>
      <c r="Q12" s="174"/>
      <c r="R12" s="174"/>
      <c r="S12" s="154">
        <v>45547</v>
      </c>
      <c r="T12" s="153" t="s">
        <v>557</v>
      </c>
      <c r="U12" s="154"/>
      <c r="V12" s="154">
        <v>45467</v>
      </c>
      <c r="W12" s="153"/>
      <c r="X12" s="153" t="s">
        <v>88</v>
      </c>
      <c r="Y12" s="154">
        <v>45311</v>
      </c>
      <c r="Z12" s="153"/>
      <c r="AA12" s="153"/>
      <c r="AB12" s="153" t="s">
        <v>173</v>
      </c>
      <c r="AC12" s="155"/>
      <c r="AD12" s="155"/>
      <c r="AE12" s="155"/>
      <c r="AF12" s="155"/>
      <c r="AG12" s="155"/>
      <c r="AH12" s="155"/>
      <c r="AI12" s="155"/>
      <c r="AJ12" s="155"/>
      <c r="AK12" s="155"/>
    </row>
    <row r="13" customHeight="1" spans="1:37">
      <c r="A13" s="158" t="s">
        <v>197</v>
      </c>
      <c r="B13" s="158" t="s">
        <v>35</v>
      </c>
      <c r="C13" s="153" t="s">
        <v>98</v>
      </c>
      <c r="D13" s="154"/>
      <c r="E13" s="158"/>
      <c r="F13" s="158"/>
      <c r="G13" s="158" t="s">
        <v>198</v>
      </c>
      <c r="H13" s="155"/>
      <c r="I13" s="153"/>
      <c r="J13" s="153"/>
      <c r="K13" s="158" t="s">
        <v>228</v>
      </c>
      <c r="L13" s="153"/>
      <c r="M13" s="153"/>
      <c r="N13" s="153"/>
      <c r="O13" s="153" t="s">
        <v>203</v>
      </c>
      <c r="P13" s="153" t="s">
        <v>204</v>
      </c>
      <c r="Q13" s="174"/>
      <c r="R13" s="174"/>
      <c r="S13" s="154">
        <v>45547</v>
      </c>
      <c r="T13" s="153" t="s">
        <v>571</v>
      </c>
      <c r="U13" s="154"/>
      <c r="V13" s="154">
        <v>45467</v>
      </c>
      <c r="W13" s="153" t="s">
        <v>589</v>
      </c>
      <c r="X13" s="153" t="s">
        <v>590</v>
      </c>
      <c r="Y13" s="154">
        <v>45311</v>
      </c>
      <c r="Z13" s="158" t="s">
        <v>141</v>
      </c>
      <c r="AA13" s="153"/>
      <c r="AB13" s="153" t="s">
        <v>206</v>
      </c>
      <c r="AC13" s="155"/>
      <c r="AD13" s="155"/>
      <c r="AE13" s="155"/>
      <c r="AF13" s="155"/>
      <c r="AG13" s="155"/>
      <c r="AH13" s="155"/>
      <c r="AI13" s="155"/>
      <c r="AJ13" s="155"/>
      <c r="AK13" s="155"/>
    </row>
    <row r="14" customHeight="1" spans="1:37">
      <c r="A14" s="159" t="s">
        <v>591</v>
      </c>
      <c r="B14" s="153" t="s">
        <v>35</v>
      </c>
      <c r="C14" s="153" t="s">
        <v>28</v>
      </c>
      <c r="D14" s="156">
        <v>2</v>
      </c>
      <c r="E14" s="153"/>
      <c r="F14" s="153" t="s">
        <v>592</v>
      </c>
      <c r="G14" s="158" t="s">
        <v>593</v>
      </c>
      <c r="H14" s="155"/>
      <c r="I14" s="153" t="s">
        <v>135</v>
      </c>
      <c r="J14" s="153" t="s">
        <v>594</v>
      </c>
      <c r="K14" s="153" t="s">
        <v>595</v>
      </c>
      <c r="L14" s="153" t="s">
        <v>596</v>
      </c>
      <c r="M14" s="159" t="s">
        <v>137</v>
      </c>
      <c r="N14" s="153" t="s">
        <v>139</v>
      </c>
      <c r="O14" s="158" t="s">
        <v>597</v>
      </c>
      <c r="P14" s="153" t="s">
        <v>598</v>
      </c>
      <c r="Q14" s="174"/>
      <c r="R14" s="174"/>
      <c r="S14" s="154">
        <v>45547</v>
      </c>
      <c r="T14" s="153" t="s">
        <v>599</v>
      </c>
      <c r="U14" s="154"/>
      <c r="V14" s="154">
        <v>45467</v>
      </c>
      <c r="W14" s="153"/>
      <c r="X14" s="153" t="s">
        <v>499</v>
      </c>
      <c r="Y14" s="154">
        <v>45311</v>
      </c>
      <c r="Z14" s="153"/>
      <c r="AA14" s="153"/>
      <c r="AB14" s="153" t="s">
        <v>600</v>
      </c>
      <c r="AC14" s="155"/>
      <c r="AD14" s="155"/>
      <c r="AE14" s="155"/>
      <c r="AF14" s="155"/>
      <c r="AG14" s="155"/>
      <c r="AH14" s="155"/>
      <c r="AI14" s="155"/>
      <c r="AJ14" s="155"/>
      <c r="AK14" s="155"/>
    </row>
    <row r="15" customHeight="1" spans="1:37">
      <c r="A15" s="153" t="s">
        <v>207</v>
      </c>
      <c r="B15" s="153" t="s">
        <v>35</v>
      </c>
      <c r="C15" s="153" t="s">
        <v>28</v>
      </c>
      <c r="D15" s="154"/>
      <c r="E15" s="153" t="s">
        <v>37</v>
      </c>
      <c r="F15" s="153"/>
      <c r="G15" s="153" t="s">
        <v>601</v>
      </c>
      <c r="H15" s="155"/>
      <c r="I15" s="168"/>
      <c r="J15" s="168" t="s">
        <v>602</v>
      </c>
      <c r="K15" s="153" t="s">
        <v>603</v>
      </c>
      <c r="L15" s="153" t="s">
        <v>604</v>
      </c>
      <c r="M15" s="159" t="s">
        <v>212</v>
      </c>
      <c r="N15" s="153"/>
      <c r="O15" s="153" t="s">
        <v>214</v>
      </c>
      <c r="P15" s="153"/>
      <c r="Q15" s="174"/>
      <c r="R15" s="174"/>
      <c r="S15" s="154"/>
      <c r="T15" s="153"/>
      <c r="U15" s="154"/>
      <c r="V15" s="154"/>
      <c r="W15" s="153" t="s">
        <v>605</v>
      </c>
      <c r="X15" s="153"/>
      <c r="Y15" s="182">
        <v>45484</v>
      </c>
      <c r="Z15" s="153"/>
      <c r="AA15" s="153"/>
      <c r="AB15" s="153"/>
      <c r="AC15" s="155"/>
      <c r="AD15" s="155"/>
      <c r="AE15" s="155"/>
      <c r="AF15" s="155"/>
      <c r="AG15" s="155"/>
      <c r="AH15" s="155"/>
      <c r="AI15" s="155"/>
      <c r="AJ15" s="155"/>
      <c r="AK15" s="155"/>
    </row>
    <row r="16" customHeight="1" spans="1:37">
      <c r="A16" s="153" t="s">
        <v>263</v>
      </c>
      <c r="B16" s="153" t="s">
        <v>35</v>
      </c>
      <c r="C16" s="153" t="s">
        <v>28</v>
      </c>
      <c r="D16" s="154"/>
      <c r="E16" s="153"/>
      <c r="F16" s="153"/>
      <c r="G16" s="153" t="s">
        <v>265</v>
      </c>
      <c r="H16" s="155"/>
      <c r="I16" s="164" t="s">
        <v>267</v>
      </c>
      <c r="J16" s="164" t="s">
        <v>606</v>
      </c>
      <c r="K16" s="153" t="s">
        <v>266</v>
      </c>
      <c r="L16" s="153"/>
      <c r="M16" s="159" t="s">
        <v>268</v>
      </c>
      <c r="N16" s="153"/>
      <c r="O16" s="153" t="s">
        <v>269</v>
      </c>
      <c r="P16" s="153" t="s">
        <v>270</v>
      </c>
      <c r="Q16" s="174"/>
      <c r="R16" s="174"/>
      <c r="S16" s="154"/>
      <c r="T16" s="153"/>
      <c r="U16" s="154"/>
      <c r="V16" s="154">
        <v>45467</v>
      </c>
      <c r="W16" s="153"/>
      <c r="X16" s="153" t="s">
        <v>499</v>
      </c>
      <c r="Y16" s="154">
        <v>45311</v>
      </c>
      <c r="Z16" s="153"/>
      <c r="AA16" s="153"/>
      <c r="AB16" s="153" t="s">
        <v>113</v>
      </c>
      <c r="AC16" s="155"/>
      <c r="AD16" s="155"/>
      <c r="AE16" s="155"/>
      <c r="AF16" s="155"/>
      <c r="AG16" s="155"/>
      <c r="AH16" s="155"/>
      <c r="AI16" s="155"/>
      <c r="AJ16" s="155"/>
      <c r="AK16" s="155"/>
    </row>
    <row r="17" customHeight="1" spans="1:37">
      <c r="A17" s="158" t="s">
        <v>283</v>
      </c>
      <c r="B17" s="153" t="s">
        <v>35</v>
      </c>
      <c r="C17" s="153" t="s">
        <v>28</v>
      </c>
      <c r="D17" s="156">
        <v>2</v>
      </c>
      <c r="E17" s="153"/>
      <c r="F17" s="153"/>
      <c r="G17" s="153"/>
      <c r="H17" s="155"/>
      <c r="I17" s="159" t="s">
        <v>286</v>
      </c>
      <c r="J17" s="168" t="s">
        <v>607</v>
      </c>
      <c r="K17" s="153" t="s">
        <v>608</v>
      </c>
      <c r="L17" s="153"/>
      <c r="M17" s="155"/>
      <c r="N17" s="153"/>
      <c r="O17" s="153"/>
      <c r="P17" s="153"/>
      <c r="Q17" s="174"/>
      <c r="R17" s="174"/>
      <c r="S17" s="154"/>
      <c r="T17" s="153"/>
      <c r="U17" s="154"/>
      <c r="V17" s="154">
        <v>45471</v>
      </c>
      <c r="W17" s="153" t="s">
        <v>609</v>
      </c>
      <c r="X17" s="153" t="s">
        <v>309</v>
      </c>
      <c r="Y17" s="153"/>
      <c r="Z17" s="153"/>
      <c r="AA17" s="153"/>
      <c r="AB17" s="153" t="s">
        <v>289</v>
      </c>
      <c r="AC17" s="155"/>
      <c r="AD17" s="155"/>
      <c r="AE17" s="155"/>
      <c r="AF17" s="155"/>
      <c r="AG17" s="155"/>
      <c r="AH17" s="155"/>
      <c r="AI17" s="155"/>
      <c r="AJ17" s="155"/>
      <c r="AK17" s="155"/>
    </row>
    <row r="18" customHeight="1" spans="1:37">
      <c r="A18" s="153" t="s">
        <v>290</v>
      </c>
      <c r="B18" s="153" t="s">
        <v>35</v>
      </c>
      <c r="C18" s="153" t="s">
        <v>28</v>
      </c>
      <c r="D18" s="156">
        <v>4</v>
      </c>
      <c r="E18" s="153"/>
      <c r="F18" s="153"/>
      <c r="G18" s="153"/>
      <c r="H18" s="155"/>
      <c r="I18" s="153"/>
      <c r="J18" s="153" t="s">
        <v>610</v>
      </c>
      <c r="K18" s="158" t="s">
        <v>611</v>
      </c>
      <c r="L18" s="153"/>
      <c r="M18" s="153"/>
      <c r="N18" s="153"/>
      <c r="O18" s="153" t="s">
        <v>294</v>
      </c>
      <c r="P18" s="153" t="s">
        <v>295</v>
      </c>
      <c r="Q18" s="174"/>
      <c r="R18" s="174"/>
      <c r="S18" s="154"/>
      <c r="T18" s="153"/>
      <c r="U18" s="154"/>
      <c r="V18" s="154">
        <v>45471</v>
      </c>
      <c r="W18" s="153" t="s">
        <v>609</v>
      </c>
      <c r="X18" s="153" t="s">
        <v>612</v>
      </c>
      <c r="Y18" s="153"/>
      <c r="Z18" s="153"/>
      <c r="AA18" s="153"/>
      <c r="AB18" s="153" t="s">
        <v>296</v>
      </c>
      <c r="AC18" s="155"/>
      <c r="AD18" s="155"/>
      <c r="AE18" s="155"/>
      <c r="AF18" s="155"/>
      <c r="AG18" s="155"/>
      <c r="AH18" s="155"/>
      <c r="AI18" s="155"/>
      <c r="AJ18" s="155"/>
      <c r="AK18" s="155"/>
    </row>
    <row r="19" customHeight="1" spans="1:37">
      <c r="A19" s="153" t="s">
        <v>613</v>
      </c>
      <c r="B19" s="153" t="s">
        <v>35</v>
      </c>
      <c r="C19" s="153" t="s">
        <v>28</v>
      </c>
      <c r="D19" s="156">
        <v>3</v>
      </c>
      <c r="E19" s="153"/>
      <c r="F19" s="153"/>
      <c r="G19" s="153" t="s">
        <v>303</v>
      </c>
      <c r="H19" s="155"/>
      <c r="I19" s="153"/>
      <c r="J19" s="153"/>
      <c r="K19" s="158" t="s">
        <v>614</v>
      </c>
      <c r="L19" s="153"/>
      <c r="M19" s="153"/>
      <c r="N19" s="153"/>
      <c r="O19" s="153" t="s">
        <v>308</v>
      </c>
      <c r="P19" s="153" t="s">
        <v>309</v>
      </c>
      <c r="Q19" s="174"/>
      <c r="R19" s="177" t="s">
        <v>310</v>
      </c>
      <c r="S19" s="154"/>
      <c r="T19" s="153"/>
      <c r="U19" s="154"/>
      <c r="V19" s="154">
        <v>45471</v>
      </c>
      <c r="W19" s="153" t="s">
        <v>609</v>
      </c>
      <c r="X19" s="153" t="s">
        <v>615</v>
      </c>
      <c r="Y19" s="153"/>
      <c r="Z19" s="153"/>
      <c r="AA19" s="153"/>
      <c r="AB19" s="153" t="s">
        <v>311</v>
      </c>
      <c r="AC19" s="155"/>
      <c r="AD19" s="155"/>
      <c r="AE19" s="155"/>
      <c r="AF19" s="155"/>
      <c r="AG19" s="155"/>
      <c r="AH19" s="155"/>
      <c r="AI19" s="155"/>
      <c r="AJ19" s="155"/>
      <c r="AK19" s="155"/>
    </row>
    <row r="20" customHeight="1" spans="1:37">
      <c r="A20" s="158" t="s">
        <v>339</v>
      </c>
      <c r="B20" s="158" t="s">
        <v>35</v>
      </c>
      <c r="C20" s="158" t="s">
        <v>98</v>
      </c>
      <c r="D20" s="160">
        <v>1</v>
      </c>
      <c r="E20" s="153"/>
      <c r="F20" s="153"/>
      <c r="G20" s="158" t="s">
        <v>340</v>
      </c>
      <c r="H20" s="161"/>
      <c r="I20" s="169" t="s">
        <v>342</v>
      </c>
      <c r="J20" s="158"/>
      <c r="K20" s="158" t="s">
        <v>341</v>
      </c>
      <c r="L20" s="158"/>
      <c r="M20" s="158"/>
      <c r="N20" s="158"/>
      <c r="O20" s="158" t="s">
        <v>343</v>
      </c>
      <c r="P20" s="158"/>
      <c r="Q20" s="175"/>
      <c r="R20" s="176" t="s">
        <v>344</v>
      </c>
      <c r="S20" s="178"/>
      <c r="T20" s="179"/>
      <c r="U20" s="178"/>
      <c r="V20" s="178"/>
      <c r="W20" s="179"/>
      <c r="X20" s="158"/>
      <c r="Y20" s="158"/>
      <c r="Z20" s="158"/>
      <c r="AA20" s="158"/>
      <c r="AB20" s="158"/>
      <c r="AC20" s="161"/>
      <c r="AD20" s="161"/>
      <c r="AE20" s="161"/>
      <c r="AF20" s="161"/>
      <c r="AG20" s="161"/>
      <c r="AH20" s="161"/>
      <c r="AI20" s="161"/>
      <c r="AJ20" s="161"/>
      <c r="AK20" s="161"/>
    </row>
    <row r="21" customHeight="1" spans="1:37">
      <c r="A21" s="153" t="s">
        <v>357</v>
      </c>
      <c r="B21" s="153" t="s">
        <v>35</v>
      </c>
      <c r="C21" s="153" t="s">
        <v>28</v>
      </c>
      <c r="D21" s="154"/>
      <c r="E21" s="153"/>
      <c r="F21" s="153"/>
      <c r="G21" s="153" t="s">
        <v>616</v>
      </c>
      <c r="H21" s="155"/>
      <c r="I21" s="159" t="s">
        <v>360</v>
      </c>
      <c r="J21" s="170" t="s">
        <v>617</v>
      </c>
      <c r="K21" s="158" t="s">
        <v>618</v>
      </c>
      <c r="L21" s="153"/>
      <c r="M21" s="153"/>
      <c r="N21" s="153"/>
      <c r="O21" s="153"/>
      <c r="P21" s="153" t="s">
        <v>29</v>
      </c>
      <c r="Q21" s="174"/>
      <c r="R21" s="174"/>
      <c r="S21" s="154"/>
      <c r="T21" s="180"/>
      <c r="U21" s="154"/>
      <c r="V21" s="154">
        <v>45471</v>
      </c>
      <c r="W21" s="180"/>
      <c r="X21" s="153" t="s">
        <v>29</v>
      </c>
      <c r="Y21" s="153"/>
      <c r="Z21" s="153"/>
      <c r="AA21" s="153"/>
      <c r="AB21" s="153" t="s">
        <v>196</v>
      </c>
      <c r="AC21" s="155"/>
      <c r="AD21" s="155"/>
      <c r="AE21" s="155"/>
      <c r="AF21" s="155"/>
      <c r="AG21" s="155"/>
      <c r="AH21" s="155"/>
      <c r="AI21" s="155"/>
      <c r="AJ21" s="155"/>
      <c r="AK21" s="155"/>
    </row>
    <row r="22" customHeight="1" spans="1:37">
      <c r="A22" s="153" t="s">
        <v>374</v>
      </c>
      <c r="B22" s="153" t="s">
        <v>35</v>
      </c>
      <c r="C22" s="153" t="s">
        <v>28</v>
      </c>
      <c r="D22" s="154"/>
      <c r="E22" s="158"/>
      <c r="F22" s="158"/>
      <c r="G22" s="153"/>
      <c r="H22" s="155"/>
      <c r="I22" s="159" t="s">
        <v>376</v>
      </c>
      <c r="J22" s="153" t="s">
        <v>619</v>
      </c>
      <c r="K22" s="158" t="s">
        <v>375</v>
      </c>
      <c r="L22" s="153"/>
      <c r="M22" s="159" t="s">
        <v>620</v>
      </c>
      <c r="N22" s="153"/>
      <c r="O22" s="153"/>
      <c r="P22" s="153" t="s">
        <v>309</v>
      </c>
      <c r="Q22" s="174"/>
      <c r="R22" s="174"/>
      <c r="S22" s="154"/>
      <c r="T22" s="153"/>
      <c r="U22" s="154"/>
      <c r="V22" s="154">
        <v>45471</v>
      </c>
      <c r="W22" s="153" t="s">
        <v>621</v>
      </c>
      <c r="X22" s="153" t="s">
        <v>88</v>
      </c>
      <c r="Y22" s="153"/>
      <c r="Z22" s="153"/>
      <c r="AA22" s="153"/>
      <c r="AB22" s="153" t="s">
        <v>196</v>
      </c>
      <c r="AC22" s="155"/>
      <c r="AD22" s="155"/>
      <c r="AE22" s="155"/>
      <c r="AF22" s="155"/>
      <c r="AG22" s="155"/>
      <c r="AH22" s="155"/>
      <c r="AI22" s="155"/>
      <c r="AJ22" s="155"/>
      <c r="AK22" s="155"/>
    </row>
    <row r="23" customHeight="1" spans="1:37">
      <c r="A23" s="153" t="s">
        <v>378</v>
      </c>
      <c r="B23" s="153" t="s">
        <v>35</v>
      </c>
      <c r="C23" s="153" t="s">
        <v>28</v>
      </c>
      <c r="D23" s="154"/>
      <c r="E23" s="158"/>
      <c r="F23" s="158"/>
      <c r="G23" s="153"/>
      <c r="H23" s="155"/>
      <c r="I23" s="153"/>
      <c r="J23" s="159" t="s">
        <v>622</v>
      </c>
      <c r="K23" s="158" t="s">
        <v>623</v>
      </c>
      <c r="L23" s="153"/>
      <c r="M23" s="153"/>
      <c r="N23" s="153"/>
      <c r="O23" s="153"/>
      <c r="P23" s="153" t="s">
        <v>381</v>
      </c>
      <c r="Q23" s="174"/>
      <c r="R23" s="174"/>
      <c r="S23" s="154"/>
      <c r="T23" s="153"/>
      <c r="U23" s="154"/>
      <c r="V23" s="154">
        <v>45471</v>
      </c>
      <c r="W23" s="153" t="s">
        <v>621</v>
      </c>
      <c r="X23" s="153" t="s">
        <v>88</v>
      </c>
      <c r="Y23" s="153"/>
      <c r="Z23" s="153"/>
      <c r="AA23" s="153"/>
      <c r="AB23" s="153" t="s">
        <v>196</v>
      </c>
      <c r="AC23" s="155"/>
      <c r="AD23" s="155"/>
      <c r="AE23" s="155"/>
      <c r="AF23" s="155"/>
      <c r="AG23" s="155"/>
      <c r="AH23" s="155"/>
      <c r="AI23" s="155"/>
      <c r="AJ23" s="155"/>
      <c r="AK23" s="155"/>
    </row>
    <row r="24" customHeight="1" spans="1:37">
      <c r="A24" s="153" t="s">
        <v>396</v>
      </c>
      <c r="B24" s="153" t="s">
        <v>35</v>
      </c>
      <c r="C24" s="153" t="s">
        <v>28</v>
      </c>
      <c r="D24" s="154"/>
      <c r="E24" s="158"/>
      <c r="F24" s="158"/>
      <c r="G24" s="153"/>
      <c r="H24" s="155"/>
      <c r="I24" s="153"/>
      <c r="J24" s="153" t="s">
        <v>624</v>
      </c>
      <c r="K24" s="158" t="s">
        <v>625</v>
      </c>
      <c r="L24" s="153"/>
      <c r="M24" s="153"/>
      <c r="N24" s="153"/>
      <c r="O24" s="153" t="s">
        <v>398</v>
      </c>
      <c r="P24" s="153" t="s">
        <v>399</v>
      </c>
      <c r="Q24" s="174"/>
      <c r="R24" s="174"/>
      <c r="S24" s="154"/>
      <c r="T24" s="180"/>
      <c r="U24" s="154"/>
      <c r="V24" s="154">
        <v>45471</v>
      </c>
      <c r="W24" s="180"/>
      <c r="X24" s="153" t="s">
        <v>88</v>
      </c>
      <c r="Y24" s="153"/>
      <c r="Z24" s="153"/>
      <c r="AA24" s="153"/>
      <c r="AB24" s="153" t="s">
        <v>196</v>
      </c>
      <c r="AC24" s="155"/>
      <c r="AD24" s="155"/>
      <c r="AE24" s="155"/>
      <c r="AF24" s="155"/>
      <c r="AG24" s="155"/>
      <c r="AH24" s="155"/>
      <c r="AI24" s="155"/>
      <c r="AJ24" s="155"/>
      <c r="AK24" s="155"/>
    </row>
    <row r="25" customHeight="1" spans="1:37">
      <c r="A25" s="153" t="s">
        <v>400</v>
      </c>
      <c r="B25" s="153" t="s">
        <v>35</v>
      </c>
      <c r="C25" s="153" t="s">
        <v>28</v>
      </c>
      <c r="D25" s="154"/>
      <c r="E25" s="158"/>
      <c r="F25" s="158"/>
      <c r="G25" s="153" t="s">
        <v>401</v>
      </c>
      <c r="H25" s="155"/>
      <c r="I25" s="153"/>
      <c r="J25" s="153"/>
      <c r="K25" s="158" t="s">
        <v>626</v>
      </c>
      <c r="L25" s="153"/>
      <c r="M25" s="153"/>
      <c r="N25" s="153"/>
      <c r="O25" s="153" t="s">
        <v>403</v>
      </c>
      <c r="P25" s="153" t="s">
        <v>404</v>
      </c>
      <c r="Q25" s="174"/>
      <c r="R25" s="174"/>
      <c r="S25" s="154"/>
      <c r="T25" s="180"/>
      <c r="U25" s="154"/>
      <c r="V25" s="154">
        <v>45478</v>
      </c>
      <c r="W25" s="180"/>
      <c r="X25" s="153" t="s">
        <v>88</v>
      </c>
      <c r="Y25" s="153"/>
      <c r="Z25" s="153"/>
      <c r="AA25" s="153"/>
      <c r="AB25" s="153" t="s">
        <v>196</v>
      </c>
      <c r="AC25" s="155"/>
      <c r="AD25" s="155"/>
      <c r="AE25" s="155"/>
      <c r="AF25" s="155"/>
      <c r="AG25" s="155"/>
      <c r="AH25" s="155"/>
      <c r="AI25" s="155"/>
      <c r="AJ25" s="155"/>
      <c r="AK25" s="155"/>
    </row>
    <row r="26" customHeight="1" spans="1:37">
      <c r="A26" s="153" t="s">
        <v>431</v>
      </c>
      <c r="B26" s="153" t="s">
        <v>35</v>
      </c>
      <c r="C26" s="153" t="s">
        <v>28</v>
      </c>
      <c r="D26" s="154"/>
      <c r="E26" s="153"/>
      <c r="F26" s="153"/>
      <c r="G26" s="153"/>
      <c r="H26" s="155"/>
      <c r="I26" s="159" t="s">
        <v>433</v>
      </c>
      <c r="J26" s="153"/>
      <c r="K26" s="153" t="s">
        <v>432</v>
      </c>
      <c r="L26" s="153"/>
      <c r="M26" s="153"/>
      <c r="N26" s="153"/>
      <c r="O26" s="153"/>
      <c r="P26" s="153" t="s">
        <v>29</v>
      </c>
      <c r="Q26" s="174"/>
      <c r="R26" s="174"/>
      <c r="S26" s="154"/>
      <c r="T26" s="180"/>
      <c r="U26" s="154"/>
      <c r="V26" s="154">
        <v>45478</v>
      </c>
      <c r="W26" s="180"/>
      <c r="X26" s="153" t="s">
        <v>88</v>
      </c>
      <c r="Y26" s="153"/>
      <c r="Z26" s="153"/>
      <c r="AA26" s="153"/>
      <c r="AB26" s="153" t="s">
        <v>434</v>
      </c>
      <c r="AC26" s="155"/>
      <c r="AD26" s="155"/>
      <c r="AE26" s="155"/>
      <c r="AF26" s="155"/>
      <c r="AG26" s="155"/>
      <c r="AH26" s="155"/>
      <c r="AI26" s="155"/>
      <c r="AJ26" s="155"/>
      <c r="AK26" s="155"/>
    </row>
    <row r="27" customHeight="1" spans="1:37">
      <c r="A27" s="153" t="s">
        <v>435</v>
      </c>
      <c r="B27" s="153" t="s">
        <v>35</v>
      </c>
      <c r="C27" s="153" t="s">
        <v>28</v>
      </c>
      <c r="D27" s="154"/>
      <c r="E27" s="158"/>
      <c r="F27" s="158"/>
      <c r="G27" s="153"/>
      <c r="H27" s="155"/>
      <c r="I27" s="159" t="s">
        <v>439</v>
      </c>
      <c r="J27" s="153" t="s">
        <v>627</v>
      </c>
      <c r="K27" s="158" t="s">
        <v>437</v>
      </c>
      <c r="L27" s="153"/>
      <c r="M27" s="155"/>
      <c r="N27" s="153"/>
      <c r="O27" s="153"/>
      <c r="P27" s="153" t="s">
        <v>29</v>
      </c>
      <c r="Q27" s="174"/>
      <c r="R27" s="174"/>
      <c r="S27" s="154"/>
      <c r="T27" s="180"/>
      <c r="U27" s="154"/>
      <c r="V27" s="154">
        <v>45478</v>
      </c>
      <c r="W27" s="180"/>
      <c r="X27" s="153" t="s">
        <v>88</v>
      </c>
      <c r="Y27" s="153"/>
      <c r="Z27" s="153"/>
      <c r="AA27" s="153"/>
      <c r="AB27" s="153" t="s">
        <v>196</v>
      </c>
      <c r="AC27" s="155"/>
      <c r="AD27" s="155"/>
      <c r="AE27" s="155"/>
      <c r="AF27" s="155"/>
      <c r="AG27" s="155"/>
      <c r="AH27" s="155"/>
      <c r="AI27" s="155"/>
      <c r="AJ27" s="155"/>
      <c r="AK27" s="155"/>
    </row>
    <row r="28" customHeight="1" spans="1:37">
      <c r="A28" s="153" t="s">
        <v>465</v>
      </c>
      <c r="B28" s="153" t="s">
        <v>35</v>
      </c>
      <c r="C28" s="153" t="s">
        <v>28</v>
      </c>
      <c r="D28" s="156">
        <v>5</v>
      </c>
      <c r="E28" s="158"/>
      <c r="F28" s="158"/>
      <c r="G28" s="153" t="s">
        <v>466</v>
      </c>
      <c r="H28" s="155"/>
      <c r="I28" s="159" t="s">
        <v>468</v>
      </c>
      <c r="J28" s="153" t="s">
        <v>628</v>
      </c>
      <c r="K28" s="158" t="s">
        <v>467</v>
      </c>
      <c r="L28" s="153"/>
      <c r="M28" s="155"/>
      <c r="N28" s="153"/>
      <c r="O28" s="153" t="s">
        <v>42</v>
      </c>
      <c r="P28" s="153" t="s">
        <v>469</v>
      </c>
      <c r="Q28" s="174"/>
      <c r="R28" s="174"/>
      <c r="S28" s="154"/>
      <c r="T28" s="153"/>
      <c r="U28" s="154"/>
      <c r="V28" s="154">
        <v>45478</v>
      </c>
      <c r="W28" s="153" t="s">
        <v>609</v>
      </c>
      <c r="X28" s="153" t="s">
        <v>88</v>
      </c>
      <c r="Y28" s="183">
        <v>45484</v>
      </c>
      <c r="Z28" s="153" t="s">
        <v>141</v>
      </c>
      <c r="AA28" s="153"/>
      <c r="AB28" s="153" t="s">
        <v>470</v>
      </c>
      <c r="AC28" s="155"/>
      <c r="AD28" s="155"/>
      <c r="AE28" s="155"/>
      <c r="AF28" s="155"/>
      <c r="AG28" s="155"/>
      <c r="AH28" s="155"/>
      <c r="AI28" s="155"/>
      <c r="AJ28" s="155"/>
      <c r="AK28" s="155"/>
    </row>
    <row r="29" customHeight="1" spans="1:37">
      <c r="A29" s="153" t="s">
        <v>182</v>
      </c>
      <c r="B29" s="153" t="s">
        <v>35</v>
      </c>
      <c r="C29" s="153"/>
      <c r="D29" s="154"/>
      <c r="E29" s="158" t="s">
        <v>37</v>
      </c>
      <c r="F29" s="158"/>
      <c r="G29" s="153" t="s">
        <v>185</v>
      </c>
      <c r="H29" s="155"/>
      <c r="I29" s="153"/>
      <c r="J29" s="153" t="s">
        <v>629</v>
      </c>
      <c r="K29" s="158" t="s">
        <v>630</v>
      </c>
      <c r="L29" s="153" t="s">
        <v>631</v>
      </c>
      <c r="M29" s="153"/>
      <c r="N29" s="153"/>
      <c r="O29" s="153"/>
      <c r="P29" s="153"/>
      <c r="Q29" s="174"/>
      <c r="R29" s="174"/>
      <c r="S29" s="154"/>
      <c r="T29" s="153"/>
      <c r="U29" s="154"/>
      <c r="V29" s="154"/>
      <c r="W29" s="153"/>
      <c r="X29" s="153"/>
      <c r="Y29" s="153"/>
      <c r="Z29" s="153"/>
      <c r="AA29" s="153"/>
      <c r="AB29" s="153"/>
      <c r="AC29" s="155"/>
      <c r="AD29" s="155"/>
      <c r="AE29" s="155"/>
      <c r="AF29" s="155"/>
      <c r="AG29" s="155"/>
      <c r="AH29" s="155"/>
      <c r="AI29" s="155"/>
      <c r="AJ29" s="155"/>
      <c r="AK29" s="155"/>
    </row>
    <row r="30" customHeight="1" spans="1:37">
      <c r="A30" s="153" t="s">
        <v>335</v>
      </c>
      <c r="B30" s="153" t="s">
        <v>336</v>
      </c>
      <c r="C30" s="153" t="s">
        <v>98</v>
      </c>
      <c r="D30" s="156">
        <v>3</v>
      </c>
      <c r="E30" s="153"/>
      <c r="F30" s="153"/>
      <c r="G30" s="155"/>
      <c r="H30" s="155"/>
      <c r="I30" s="159" t="s">
        <v>337</v>
      </c>
      <c r="J30" s="155"/>
      <c r="K30" s="155"/>
      <c r="L30" s="155"/>
      <c r="M30" s="155"/>
      <c r="N30" s="155"/>
      <c r="O30" s="153" t="s">
        <v>338</v>
      </c>
      <c r="P30" s="155"/>
      <c r="Q30" s="174"/>
      <c r="R30" s="174"/>
      <c r="S30" s="154"/>
      <c r="T30" s="153"/>
      <c r="U30" s="154"/>
      <c r="V30" s="154">
        <v>45478</v>
      </c>
      <c r="W30" s="153" t="s">
        <v>609</v>
      </c>
      <c r="X30" s="155"/>
      <c r="Y30" s="155"/>
      <c r="Z30" s="155"/>
      <c r="AA30" s="155"/>
      <c r="AB30" s="155"/>
      <c r="AC30" s="155"/>
      <c r="AD30" s="155"/>
      <c r="AE30" s="155"/>
      <c r="AF30" s="155"/>
      <c r="AG30" s="155"/>
      <c r="AH30" s="155"/>
      <c r="AI30" s="155"/>
      <c r="AJ30" s="155"/>
      <c r="AK30" s="155"/>
    </row>
    <row r="31" customHeight="1" spans="1:37">
      <c r="A31" s="153" t="s">
        <v>114</v>
      </c>
      <c r="B31" s="153" t="s">
        <v>61</v>
      </c>
      <c r="C31" s="155" t="s">
        <v>28</v>
      </c>
      <c r="D31" s="153">
        <v>1</v>
      </c>
      <c r="E31" s="153" t="s">
        <v>632</v>
      </c>
      <c r="F31" s="153" t="s">
        <v>592</v>
      </c>
      <c r="G31" s="153" t="s">
        <v>117</v>
      </c>
      <c r="H31" s="155"/>
      <c r="I31" s="153"/>
      <c r="J31" s="153"/>
      <c r="K31" s="153" t="s">
        <v>633</v>
      </c>
      <c r="L31" s="153"/>
      <c r="M31" s="153"/>
      <c r="N31" s="155"/>
      <c r="O31" s="153" t="s">
        <v>119</v>
      </c>
      <c r="P31" s="153"/>
      <c r="Q31" s="174"/>
      <c r="R31" s="174"/>
      <c r="S31" s="154">
        <v>45547</v>
      </c>
      <c r="T31" s="153"/>
      <c r="U31" s="154"/>
      <c r="V31" s="154">
        <v>45488</v>
      </c>
      <c r="W31" s="153" t="s">
        <v>634</v>
      </c>
      <c r="X31" s="155"/>
      <c r="Y31" s="155"/>
      <c r="Z31" s="155"/>
      <c r="AA31" s="155"/>
      <c r="AB31" s="155"/>
      <c r="AC31" s="155"/>
      <c r="AD31" s="155"/>
      <c r="AE31" s="155"/>
      <c r="AF31" s="155"/>
      <c r="AG31" s="155"/>
      <c r="AH31" s="155"/>
      <c r="AI31" s="155"/>
      <c r="AJ31" s="155"/>
      <c r="AK31" s="155"/>
    </row>
    <row r="32" customHeight="1" spans="1:37">
      <c r="A32" s="153" t="s">
        <v>215</v>
      </c>
      <c r="B32" s="153" t="s">
        <v>61</v>
      </c>
      <c r="C32" s="153" t="s">
        <v>28</v>
      </c>
      <c r="D32" s="154"/>
      <c r="E32" s="153" t="s">
        <v>205</v>
      </c>
      <c r="F32" s="153"/>
      <c r="G32" s="153" t="s">
        <v>215</v>
      </c>
      <c r="H32" s="155"/>
      <c r="I32" s="153"/>
      <c r="J32" s="153"/>
      <c r="K32" s="153" t="s">
        <v>216</v>
      </c>
      <c r="L32" s="153"/>
      <c r="M32" s="153"/>
      <c r="N32" s="155"/>
      <c r="O32" s="153"/>
      <c r="P32" s="153"/>
      <c r="Q32" s="174"/>
      <c r="R32" s="174"/>
      <c r="S32" s="154"/>
      <c r="T32" s="153"/>
      <c r="U32" s="154"/>
      <c r="V32" s="154"/>
      <c r="W32" s="153" t="s">
        <v>635</v>
      </c>
      <c r="X32" s="155"/>
      <c r="Y32" s="155"/>
      <c r="Z32" s="155"/>
      <c r="AA32" s="155"/>
      <c r="AB32" s="155"/>
      <c r="AC32" s="155"/>
      <c r="AD32" s="155"/>
      <c r="AE32" s="155"/>
      <c r="AF32" s="155"/>
      <c r="AG32" s="155"/>
      <c r="AH32" s="155"/>
      <c r="AI32" s="155"/>
      <c r="AJ32" s="155"/>
      <c r="AK32" s="155"/>
    </row>
    <row r="33" customHeight="1" spans="1:37">
      <c r="A33" s="153" t="s">
        <v>222</v>
      </c>
      <c r="B33" s="153" t="s">
        <v>61</v>
      </c>
      <c r="C33" s="153" t="s">
        <v>98</v>
      </c>
      <c r="D33" s="156">
        <v>1</v>
      </c>
      <c r="E33" s="153" t="s">
        <v>632</v>
      </c>
      <c r="F33" s="153" t="s">
        <v>592</v>
      </c>
      <c r="G33" s="153" t="s">
        <v>222</v>
      </c>
      <c r="H33" s="155"/>
      <c r="I33" s="159" t="s">
        <v>223</v>
      </c>
      <c r="J33" s="153"/>
      <c r="K33" s="153"/>
      <c r="L33" s="153"/>
      <c r="M33" s="153"/>
      <c r="N33" s="153"/>
      <c r="O33" s="153"/>
      <c r="P33" s="153"/>
      <c r="Q33" s="174"/>
      <c r="R33" s="174"/>
      <c r="S33" s="154"/>
      <c r="T33" s="153"/>
      <c r="U33" s="154"/>
      <c r="V33" s="154"/>
      <c r="W33" s="153"/>
      <c r="X33" s="153"/>
      <c r="Y33" s="181"/>
      <c r="Z33" s="153"/>
      <c r="AA33" s="153"/>
      <c r="AB33" s="153"/>
      <c r="AC33" s="155"/>
      <c r="AD33" s="155"/>
      <c r="AE33" s="155"/>
      <c r="AF33" s="155"/>
      <c r="AG33" s="155"/>
      <c r="AH33" s="155"/>
      <c r="AI33" s="155"/>
      <c r="AJ33" s="155"/>
      <c r="AK33" s="155"/>
    </row>
    <row r="34" customHeight="1" spans="1:37">
      <c r="A34" s="162" t="s">
        <v>249</v>
      </c>
      <c r="B34" s="153" t="s">
        <v>61</v>
      </c>
      <c r="C34" s="153" t="s">
        <v>98</v>
      </c>
      <c r="D34" s="156">
        <v>1</v>
      </c>
      <c r="E34" s="153" t="s">
        <v>636</v>
      </c>
      <c r="F34" s="155"/>
      <c r="G34" s="155"/>
      <c r="H34" s="155"/>
      <c r="I34" s="155"/>
      <c r="J34" s="155"/>
      <c r="K34" s="155"/>
      <c r="L34" s="155"/>
      <c r="M34" s="155"/>
      <c r="N34" s="155"/>
      <c r="O34" s="155"/>
      <c r="P34" s="155"/>
      <c r="Q34" s="174"/>
      <c r="R34" s="174"/>
      <c r="S34" s="154"/>
      <c r="T34" s="155"/>
      <c r="U34" s="154"/>
      <c r="V34" s="154">
        <v>45478</v>
      </c>
      <c r="W34" s="155"/>
      <c r="X34" s="155"/>
      <c r="Y34" s="155"/>
      <c r="Z34" s="155"/>
      <c r="AA34" s="155"/>
      <c r="AB34" s="155"/>
      <c r="AC34" s="155"/>
      <c r="AD34" s="155"/>
      <c r="AE34" s="155"/>
      <c r="AF34" s="155"/>
      <c r="AG34" s="155"/>
      <c r="AH34" s="155"/>
      <c r="AI34" s="155"/>
      <c r="AJ34" s="155"/>
      <c r="AK34" s="155"/>
    </row>
    <row r="35" customHeight="1" spans="1:37">
      <c r="A35" s="153" t="s">
        <v>255</v>
      </c>
      <c r="B35" s="153" t="s">
        <v>61</v>
      </c>
      <c r="C35" s="153" t="s">
        <v>28</v>
      </c>
      <c r="D35" s="156">
        <v>2</v>
      </c>
      <c r="E35" s="153" t="s">
        <v>637</v>
      </c>
      <c r="F35" s="153"/>
      <c r="G35" s="153" t="s">
        <v>255</v>
      </c>
      <c r="H35" s="155"/>
      <c r="I35" s="155"/>
      <c r="J35" s="155"/>
      <c r="K35" s="153" t="s">
        <v>256</v>
      </c>
      <c r="L35" s="153" t="s">
        <v>638</v>
      </c>
      <c r="M35" s="155"/>
      <c r="N35" s="155"/>
      <c r="O35" s="153" t="s">
        <v>257</v>
      </c>
      <c r="P35" s="155"/>
      <c r="Q35" s="154"/>
      <c r="R35" s="154"/>
      <c r="S35" s="154"/>
      <c r="T35" s="153"/>
      <c r="U35" s="154"/>
      <c r="V35" s="154">
        <v>45489</v>
      </c>
      <c r="W35" s="153" t="s">
        <v>639</v>
      </c>
      <c r="X35" s="155"/>
      <c r="Y35" s="182">
        <v>45489</v>
      </c>
      <c r="Z35" s="155"/>
      <c r="AA35" s="155"/>
      <c r="AB35" s="155"/>
      <c r="AC35" s="155"/>
      <c r="AD35" s="155"/>
      <c r="AE35" s="155"/>
      <c r="AF35" s="155"/>
      <c r="AG35" s="155"/>
      <c r="AH35" s="155"/>
      <c r="AI35" s="155"/>
      <c r="AJ35" s="155"/>
      <c r="AK35" s="155"/>
    </row>
    <row r="36" customHeight="1" spans="1:37">
      <c r="A36" s="153" t="s">
        <v>640</v>
      </c>
      <c r="B36" s="153" t="s">
        <v>61</v>
      </c>
      <c r="C36" s="155" t="s">
        <v>98</v>
      </c>
      <c r="D36" s="156">
        <v>3</v>
      </c>
      <c r="F36" s="153" t="s">
        <v>592</v>
      </c>
      <c r="G36" s="155"/>
      <c r="H36" s="155"/>
      <c r="I36" s="155"/>
      <c r="J36" s="155"/>
      <c r="K36" s="155"/>
      <c r="L36" s="155"/>
      <c r="M36" s="155"/>
      <c r="N36" s="155"/>
      <c r="O36" s="155"/>
      <c r="P36" s="155"/>
      <c r="Q36" s="174"/>
      <c r="R36" s="174"/>
      <c r="S36" s="154"/>
      <c r="T36" s="153"/>
      <c r="U36" s="154"/>
      <c r="V36" s="154">
        <v>45478</v>
      </c>
      <c r="W36" s="153" t="s">
        <v>499</v>
      </c>
      <c r="X36" s="155"/>
      <c r="Y36" s="153" t="s">
        <v>641</v>
      </c>
      <c r="Z36" s="155"/>
      <c r="AA36" s="155"/>
      <c r="AB36" s="155"/>
      <c r="AC36" s="155"/>
      <c r="AD36" s="155"/>
      <c r="AE36" s="155"/>
      <c r="AF36" s="155"/>
      <c r="AG36" s="155"/>
      <c r="AH36" s="155"/>
      <c r="AI36" s="155"/>
      <c r="AJ36" s="155"/>
      <c r="AK36" s="155"/>
    </row>
    <row r="37" customHeight="1" spans="1:37">
      <c r="A37" s="163" t="s">
        <v>279</v>
      </c>
      <c r="B37" s="153" t="s">
        <v>61</v>
      </c>
      <c r="C37" s="153" t="s">
        <v>98</v>
      </c>
      <c r="D37" s="156">
        <v>1</v>
      </c>
      <c r="E37" s="155"/>
      <c r="F37" s="155"/>
      <c r="G37" s="155"/>
      <c r="H37" s="155"/>
      <c r="I37" s="155"/>
      <c r="J37" s="155"/>
      <c r="K37" s="155"/>
      <c r="L37" s="155"/>
      <c r="M37" s="155"/>
      <c r="N37" s="155"/>
      <c r="O37" s="153" t="s">
        <v>282</v>
      </c>
      <c r="P37" s="155"/>
      <c r="Q37" s="174"/>
      <c r="R37" s="174"/>
      <c r="S37" s="154"/>
      <c r="T37" s="155"/>
      <c r="U37" s="154"/>
      <c r="V37" s="154">
        <v>45478</v>
      </c>
      <c r="W37" s="155"/>
      <c r="X37" s="155"/>
      <c r="Y37" s="155"/>
      <c r="Z37" s="155"/>
      <c r="AA37" s="155"/>
      <c r="AB37" s="155"/>
      <c r="AC37" s="155"/>
      <c r="AD37" s="155"/>
      <c r="AE37" s="155"/>
      <c r="AF37" s="155"/>
      <c r="AG37" s="155"/>
      <c r="AH37" s="155"/>
      <c r="AI37" s="155"/>
      <c r="AJ37" s="155"/>
      <c r="AK37" s="155"/>
    </row>
    <row r="38" customHeight="1" spans="1:37">
      <c r="A38" s="153" t="s">
        <v>329</v>
      </c>
      <c r="B38" s="153" t="s">
        <v>61</v>
      </c>
      <c r="C38" s="155" t="s">
        <v>28</v>
      </c>
      <c r="D38" s="154"/>
      <c r="E38" s="153" t="s">
        <v>637</v>
      </c>
      <c r="F38" s="153"/>
      <c r="G38" s="155"/>
      <c r="H38" s="155"/>
      <c r="I38" s="159" t="s">
        <v>330</v>
      </c>
      <c r="J38" s="153"/>
      <c r="K38" s="155"/>
      <c r="L38" s="155"/>
      <c r="M38" s="155"/>
      <c r="N38" s="155"/>
      <c r="O38" s="155"/>
      <c r="P38" s="155"/>
      <c r="Q38" s="174"/>
      <c r="R38" s="174"/>
      <c r="S38" s="154"/>
      <c r="T38" s="153"/>
      <c r="U38" s="154"/>
      <c r="V38" s="154">
        <v>45471</v>
      </c>
      <c r="W38" s="153" t="s">
        <v>609</v>
      </c>
      <c r="X38" s="155"/>
      <c r="Y38" s="155"/>
      <c r="Z38" s="155"/>
      <c r="AA38" s="155"/>
      <c r="AB38" s="155"/>
      <c r="AC38" s="155"/>
      <c r="AD38" s="155"/>
      <c r="AE38" s="155"/>
      <c r="AF38" s="155"/>
      <c r="AG38" s="155"/>
      <c r="AH38" s="155"/>
      <c r="AI38" s="155"/>
      <c r="AJ38" s="155"/>
      <c r="AK38" s="155"/>
    </row>
    <row r="39" customHeight="1" spans="1:37">
      <c r="A39" s="153" t="s">
        <v>345</v>
      </c>
      <c r="B39" s="153" t="s">
        <v>61</v>
      </c>
      <c r="C39" s="153" t="s">
        <v>28</v>
      </c>
      <c r="D39" s="156">
        <v>4</v>
      </c>
      <c r="E39" s="153" t="s">
        <v>501</v>
      </c>
      <c r="F39" s="153"/>
      <c r="G39" s="153" t="s">
        <v>642</v>
      </c>
      <c r="H39" s="155"/>
      <c r="I39" s="159" t="s">
        <v>349</v>
      </c>
      <c r="J39" s="168"/>
      <c r="K39" s="153" t="s">
        <v>643</v>
      </c>
      <c r="L39" s="158" t="s">
        <v>644</v>
      </c>
      <c r="M39" s="171" t="s">
        <v>644</v>
      </c>
      <c r="N39" s="153" t="s">
        <v>350</v>
      </c>
      <c r="O39" s="155"/>
      <c r="P39" s="155"/>
      <c r="Q39" s="174"/>
      <c r="R39" s="174"/>
      <c r="S39" s="154"/>
      <c r="T39" s="153"/>
      <c r="U39" s="154"/>
      <c r="V39" s="154">
        <v>45478</v>
      </c>
      <c r="W39" s="153" t="s">
        <v>499</v>
      </c>
      <c r="X39" s="153" t="s">
        <v>29</v>
      </c>
      <c r="Y39" s="155"/>
      <c r="Z39" s="155"/>
      <c r="AA39" s="155"/>
      <c r="AB39" s="155"/>
      <c r="AC39" s="155"/>
      <c r="AD39" s="155"/>
      <c r="AE39" s="155"/>
      <c r="AF39" s="155"/>
      <c r="AG39" s="155"/>
      <c r="AH39" s="155"/>
      <c r="AI39" s="155"/>
      <c r="AJ39" s="155"/>
      <c r="AK39" s="155"/>
    </row>
    <row r="40" customHeight="1" spans="1:37">
      <c r="A40" s="153" t="s">
        <v>425</v>
      </c>
      <c r="B40" s="153" t="s">
        <v>61</v>
      </c>
      <c r="C40" s="153" t="s">
        <v>28</v>
      </c>
      <c r="D40" s="156">
        <v>3</v>
      </c>
      <c r="E40" s="153" t="s">
        <v>637</v>
      </c>
      <c r="F40" s="153"/>
      <c r="G40" s="153" t="s">
        <v>641</v>
      </c>
      <c r="H40" s="155"/>
      <c r="I40" s="155"/>
      <c r="J40" s="155"/>
      <c r="K40" s="153" t="s">
        <v>428</v>
      </c>
      <c r="L40" s="155"/>
      <c r="M40" s="155"/>
      <c r="N40" s="155"/>
      <c r="O40" s="153" t="s">
        <v>430</v>
      </c>
      <c r="P40" s="155"/>
      <c r="Q40" s="174"/>
      <c r="R40" s="174"/>
      <c r="S40" s="154"/>
      <c r="T40" s="153"/>
      <c r="U40" s="154"/>
      <c r="V40" s="154">
        <v>45481</v>
      </c>
      <c r="W40" s="153" t="s">
        <v>609</v>
      </c>
      <c r="X40" s="155"/>
      <c r="Y40" s="182">
        <v>45484</v>
      </c>
      <c r="Z40" s="155"/>
      <c r="AA40" s="155"/>
      <c r="AB40" s="155"/>
      <c r="AC40" s="155"/>
      <c r="AD40" s="155"/>
      <c r="AE40" s="155"/>
      <c r="AF40" s="155"/>
      <c r="AG40" s="155"/>
      <c r="AH40" s="155"/>
      <c r="AI40" s="155"/>
      <c r="AJ40" s="155"/>
      <c r="AK40" s="155"/>
    </row>
    <row r="41" customHeight="1" spans="1:37">
      <c r="A41" s="153" t="s">
        <v>448</v>
      </c>
      <c r="B41" s="153" t="s">
        <v>61</v>
      </c>
      <c r="C41" s="153" t="s">
        <v>98</v>
      </c>
      <c r="D41" s="156">
        <v>3</v>
      </c>
      <c r="E41" s="163"/>
      <c r="F41" s="163"/>
      <c r="G41" s="153"/>
      <c r="H41" s="155"/>
      <c r="I41" s="155"/>
      <c r="J41" s="153"/>
      <c r="K41" s="163"/>
      <c r="L41" s="164"/>
      <c r="M41" s="155"/>
      <c r="N41" s="153"/>
      <c r="O41" s="153" t="s">
        <v>450</v>
      </c>
      <c r="P41" s="153"/>
      <c r="Q41" s="174"/>
      <c r="R41" s="174"/>
      <c r="S41" s="154">
        <v>45547</v>
      </c>
      <c r="T41" s="153" t="s">
        <v>645</v>
      </c>
      <c r="U41" s="154">
        <v>45522</v>
      </c>
      <c r="V41" s="154"/>
      <c r="W41" s="153" t="s">
        <v>646</v>
      </c>
      <c r="X41" s="153"/>
      <c r="Y41" s="153"/>
      <c r="Z41" s="153"/>
      <c r="AA41" s="153"/>
      <c r="AB41" s="153"/>
      <c r="AC41" s="155"/>
      <c r="AD41" s="155"/>
      <c r="AE41" s="155"/>
      <c r="AF41" s="155"/>
      <c r="AG41" s="155"/>
      <c r="AH41" s="155"/>
      <c r="AI41" s="155"/>
      <c r="AJ41" s="155"/>
      <c r="AK41" s="155"/>
    </row>
    <row r="42" customHeight="1" spans="1:37">
      <c r="A42" s="153" t="s">
        <v>362</v>
      </c>
      <c r="B42" s="153" t="s">
        <v>61</v>
      </c>
      <c r="C42" s="153"/>
      <c r="D42" s="156">
        <v>2</v>
      </c>
      <c r="E42" s="158" t="s">
        <v>647</v>
      </c>
      <c r="F42" s="158"/>
      <c r="G42" s="153" t="s">
        <v>362</v>
      </c>
      <c r="H42" s="155"/>
      <c r="I42" s="159" t="s">
        <v>364</v>
      </c>
      <c r="J42" s="153"/>
      <c r="K42" s="158" t="s">
        <v>363</v>
      </c>
      <c r="L42" s="153"/>
      <c r="M42" s="153"/>
      <c r="N42" s="153"/>
      <c r="O42" s="153"/>
      <c r="P42" s="153"/>
      <c r="Q42" s="174"/>
      <c r="R42" s="174"/>
      <c r="S42" s="154"/>
      <c r="T42" s="153"/>
      <c r="U42" s="154"/>
      <c r="V42" s="154"/>
      <c r="W42" s="153"/>
      <c r="X42" s="153"/>
      <c r="Y42" s="153"/>
      <c r="Z42" s="153"/>
      <c r="AA42" s="153"/>
      <c r="AB42" s="153"/>
      <c r="AC42" s="155"/>
      <c r="AD42" s="155"/>
      <c r="AE42" s="155"/>
      <c r="AF42" s="155"/>
      <c r="AG42" s="155"/>
      <c r="AH42" s="155"/>
      <c r="AI42" s="155"/>
      <c r="AJ42" s="155"/>
      <c r="AK42" s="155"/>
    </row>
    <row r="43" customHeight="1" spans="1:37">
      <c r="A43" s="158" t="s">
        <v>648</v>
      </c>
      <c r="B43" s="158" t="s">
        <v>61</v>
      </c>
      <c r="C43" s="153" t="s">
        <v>28</v>
      </c>
      <c r="D43" s="156">
        <v>5</v>
      </c>
      <c r="E43" s="158" t="s">
        <v>649</v>
      </c>
      <c r="F43" s="158"/>
      <c r="G43" s="158"/>
      <c r="H43" s="155"/>
      <c r="I43" s="159" t="s">
        <v>482</v>
      </c>
      <c r="J43" s="153"/>
      <c r="K43" s="158" t="s">
        <v>480</v>
      </c>
      <c r="L43" s="158" t="s">
        <v>650</v>
      </c>
      <c r="M43" s="153"/>
      <c r="N43" s="172"/>
      <c r="O43" s="158"/>
      <c r="P43" s="158"/>
      <c r="Q43" s="174"/>
      <c r="R43" s="174"/>
      <c r="S43" s="154"/>
      <c r="T43" s="153"/>
      <c r="U43" s="154"/>
      <c r="V43" s="154"/>
      <c r="W43" s="153"/>
      <c r="X43" s="181"/>
      <c r="Y43" s="153"/>
      <c r="Z43" s="184"/>
      <c r="AA43" s="153"/>
      <c r="AB43" s="155"/>
      <c r="AC43" s="155"/>
      <c r="AD43" s="155"/>
      <c r="AE43" s="155"/>
      <c r="AF43" s="155"/>
      <c r="AG43" s="155"/>
      <c r="AH43" s="155"/>
      <c r="AI43" s="155"/>
      <c r="AJ43" s="155"/>
      <c r="AK43" s="155"/>
    </row>
    <row r="44" customHeight="1" spans="1:37">
      <c r="A44" s="153" t="s">
        <v>234</v>
      </c>
      <c r="B44" s="153" t="s">
        <v>189</v>
      </c>
      <c r="C44" s="155" t="s">
        <v>28</v>
      </c>
      <c r="D44" s="156">
        <v>2</v>
      </c>
      <c r="E44" s="153"/>
      <c r="F44" s="153"/>
      <c r="G44" s="153"/>
      <c r="H44" s="155"/>
      <c r="I44" s="159" t="s">
        <v>236</v>
      </c>
      <c r="J44" s="153" t="s">
        <v>651</v>
      </c>
      <c r="K44" s="153" t="s">
        <v>235</v>
      </c>
      <c r="L44" s="153"/>
      <c r="M44" s="155"/>
      <c r="N44" s="155"/>
      <c r="O44" s="153"/>
      <c r="P44" s="153"/>
      <c r="Q44" s="174"/>
      <c r="R44" s="174"/>
      <c r="S44" s="154"/>
      <c r="T44" s="153"/>
      <c r="U44" s="154"/>
      <c r="V44" s="154">
        <v>45471</v>
      </c>
      <c r="W44" s="153"/>
      <c r="X44" s="155"/>
      <c r="Y44" s="155"/>
      <c r="Z44" s="155"/>
      <c r="AA44" s="155"/>
      <c r="AB44" s="155"/>
      <c r="AC44" s="155"/>
      <c r="AD44" s="155"/>
      <c r="AE44" s="155"/>
      <c r="AF44" s="155"/>
      <c r="AG44" s="155"/>
      <c r="AH44" s="155"/>
      <c r="AI44" s="155"/>
      <c r="AJ44" s="155"/>
      <c r="AK44" s="155"/>
    </row>
    <row r="45" customHeight="1" spans="1:37">
      <c r="A45" s="153" t="s">
        <v>316</v>
      </c>
      <c r="B45" s="153" t="s">
        <v>189</v>
      </c>
      <c r="C45" s="153" t="s">
        <v>28</v>
      </c>
      <c r="D45" s="154"/>
      <c r="E45" s="153"/>
      <c r="F45" s="153"/>
      <c r="G45" s="153"/>
      <c r="H45" s="155"/>
      <c r="I45" s="159" t="s">
        <v>318</v>
      </c>
      <c r="J45" s="153"/>
      <c r="K45" s="153" t="s">
        <v>317</v>
      </c>
      <c r="L45" s="153"/>
      <c r="M45" s="153"/>
      <c r="N45" s="153"/>
      <c r="O45" s="153"/>
      <c r="P45" s="153" t="s">
        <v>29</v>
      </c>
      <c r="Q45" s="174"/>
      <c r="R45" s="174"/>
      <c r="S45" s="154"/>
      <c r="T45" s="153"/>
      <c r="U45" s="154"/>
      <c r="V45" s="154">
        <v>45471</v>
      </c>
      <c r="W45" s="153" t="s">
        <v>609</v>
      </c>
      <c r="X45" s="153" t="s">
        <v>29</v>
      </c>
      <c r="Y45" s="153"/>
      <c r="Z45" s="153"/>
      <c r="AA45" s="153"/>
      <c r="AB45" s="153" t="s">
        <v>320</v>
      </c>
      <c r="AC45" s="155"/>
      <c r="AD45" s="155"/>
      <c r="AE45" s="155"/>
      <c r="AF45" s="155"/>
      <c r="AG45" s="155"/>
      <c r="AH45" s="155"/>
      <c r="AI45" s="155"/>
      <c r="AJ45" s="155"/>
      <c r="AK45" s="155"/>
    </row>
    <row r="46" customHeight="1" spans="1:37">
      <c r="A46" s="153" t="s">
        <v>321</v>
      </c>
      <c r="B46" s="153" t="s">
        <v>189</v>
      </c>
      <c r="C46" s="153" t="s">
        <v>28</v>
      </c>
      <c r="D46" s="154"/>
      <c r="E46" s="153"/>
      <c r="F46" s="153"/>
      <c r="G46" s="153"/>
      <c r="H46" s="155"/>
      <c r="I46" s="153"/>
      <c r="J46" s="153"/>
      <c r="K46" s="153" t="s">
        <v>322</v>
      </c>
      <c r="L46" s="153"/>
      <c r="M46" s="153"/>
      <c r="N46" s="153"/>
      <c r="O46" s="153"/>
      <c r="P46" s="153" t="s">
        <v>29</v>
      </c>
      <c r="Q46" s="174"/>
      <c r="R46" s="174"/>
      <c r="S46" s="154"/>
      <c r="T46" s="180"/>
      <c r="U46" s="154"/>
      <c r="V46" s="154">
        <v>45471</v>
      </c>
      <c r="W46" s="180"/>
      <c r="X46" s="153" t="s">
        <v>29</v>
      </c>
      <c r="Y46" s="153"/>
      <c r="Z46" s="153"/>
      <c r="AA46" s="153"/>
      <c r="AB46" s="153" t="s">
        <v>320</v>
      </c>
      <c r="AC46" s="155"/>
      <c r="AD46" s="155"/>
      <c r="AE46" s="155"/>
      <c r="AF46" s="155"/>
      <c r="AG46" s="155"/>
      <c r="AH46" s="155"/>
      <c r="AI46" s="155"/>
      <c r="AJ46" s="155"/>
      <c r="AK46" s="155"/>
    </row>
    <row r="47" customHeight="1" spans="1:37">
      <c r="A47" s="153" t="s">
        <v>323</v>
      </c>
      <c r="B47" s="153" t="s">
        <v>189</v>
      </c>
      <c r="C47" s="153" t="s">
        <v>28</v>
      </c>
      <c r="D47" s="154"/>
      <c r="E47" s="153"/>
      <c r="F47" s="153"/>
      <c r="G47" s="153" t="s">
        <v>324</v>
      </c>
      <c r="H47" s="155"/>
      <c r="I47" s="159" t="s">
        <v>326</v>
      </c>
      <c r="J47" s="153"/>
      <c r="K47" s="153" t="s">
        <v>325</v>
      </c>
      <c r="L47" s="153"/>
      <c r="M47" s="155"/>
      <c r="N47" s="153"/>
      <c r="O47" s="153"/>
      <c r="P47" s="153" t="s">
        <v>29</v>
      </c>
      <c r="Q47" s="174"/>
      <c r="R47" s="174"/>
      <c r="S47" s="154"/>
      <c r="T47" s="153"/>
      <c r="U47" s="154"/>
      <c r="V47" s="154">
        <v>45471</v>
      </c>
      <c r="W47" s="153" t="s">
        <v>609</v>
      </c>
      <c r="X47" s="153" t="s">
        <v>29</v>
      </c>
      <c r="Y47" s="153"/>
      <c r="Z47" s="153"/>
      <c r="AA47" s="153"/>
      <c r="AB47" s="153" t="s">
        <v>320</v>
      </c>
      <c r="AC47" s="155"/>
      <c r="AD47" s="155"/>
      <c r="AE47" s="155"/>
      <c r="AF47" s="155"/>
      <c r="AG47" s="155"/>
      <c r="AH47" s="155"/>
      <c r="AI47" s="155"/>
      <c r="AJ47" s="155"/>
      <c r="AK47" s="155"/>
    </row>
    <row r="48" customHeight="1" spans="1:37">
      <c r="A48" s="153" t="s">
        <v>188</v>
      </c>
      <c r="B48" s="153" t="s">
        <v>189</v>
      </c>
      <c r="C48" s="153" t="s">
        <v>28</v>
      </c>
      <c r="D48" s="154"/>
      <c r="E48" s="153"/>
      <c r="F48" s="153"/>
      <c r="G48" s="153" t="s">
        <v>652</v>
      </c>
      <c r="H48" s="155"/>
      <c r="I48" s="153"/>
      <c r="J48" s="153" t="s">
        <v>653</v>
      </c>
      <c r="K48" s="153" t="s">
        <v>654</v>
      </c>
      <c r="L48" s="153"/>
      <c r="M48" s="159" t="s">
        <v>194</v>
      </c>
      <c r="N48" s="153"/>
      <c r="O48" s="153"/>
      <c r="P48" s="153"/>
      <c r="Q48" s="174"/>
      <c r="R48" s="174"/>
      <c r="S48" s="154"/>
      <c r="T48" s="180"/>
      <c r="U48" s="154"/>
      <c r="V48" s="154">
        <v>45471</v>
      </c>
      <c r="W48" s="180"/>
      <c r="X48" s="153" t="s">
        <v>88</v>
      </c>
      <c r="Y48" s="153"/>
      <c r="Z48" s="153"/>
      <c r="AA48" s="153"/>
      <c r="AB48" s="153" t="s">
        <v>196</v>
      </c>
      <c r="AC48" s="155"/>
      <c r="AD48" s="155"/>
      <c r="AE48" s="155"/>
      <c r="AF48" s="155"/>
      <c r="AG48" s="155"/>
      <c r="AH48" s="155"/>
      <c r="AI48" s="155"/>
      <c r="AJ48" s="155"/>
      <c r="AK48" s="155"/>
    </row>
    <row r="49" customHeight="1" spans="1:37">
      <c r="A49" s="158" t="s">
        <v>408</v>
      </c>
      <c r="B49" s="158" t="s">
        <v>189</v>
      </c>
      <c r="C49" s="153" t="s">
        <v>28</v>
      </c>
      <c r="D49" s="154"/>
      <c r="E49" s="158"/>
      <c r="F49" s="158"/>
      <c r="G49" s="153"/>
      <c r="H49" s="155"/>
      <c r="I49" s="159" t="s">
        <v>411</v>
      </c>
      <c r="J49" s="153" t="s">
        <v>655</v>
      </c>
      <c r="K49" s="158" t="s">
        <v>656</v>
      </c>
      <c r="L49" s="153"/>
      <c r="M49" s="155"/>
      <c r="N49" s="153"/>
      <c r="O49" s="158" t="s">
        <v>412</v>
      </c>
      <c r="P49" s="158" t="s">
        <v>413</v>
      </c>
      <c r="Q49" s="174"/>
      <c r="R49" s="174"/>
      <c r="S49" s="154"/>
      <c r="T49" s="153"/>
      <c r="U49" s="154"/>
      <c r="V49" s="154">
        <v>45467</v>
      </c>
      <c r="W49" s="153"/>
      <c r="X49" s="153" t="s">
        <v>499</v>
      </c>
      <c r="Y49" s="154">
        <v>45311</v>
      </c>
      <c r="Z49" s="158" t="s">
        <v>141</v>
      </c>
      <c r="AA49" s="153"/>
      <c r="AB49" s="153" t="s">
        <v>415</v>
      </c>
      <c r="AC49" s="155"/>
      <c r="AD49" s="155"/>
      <c r="AE49" s="155"/>
      <c r="AF49" s="155"/>
      <c r="AG49" s="155"/>
      <c r="AH49" s="155"/>
      <c r="AI49" s="155"/>
      <c r="AJ49" s="155"/>
      <c r="AK49" s="155"/>
    </row>
    <row r="50" customHeight="1" spans="1:37">
      <c r="A50" s="153" t="s">
        <v>418</v>
      </c>
      <c r="B50" s="153" t="s">
        <v>189</v>
      </c>
      <c r="C50" s="153" t="s">
        <v>28</v>
      </c>
      <c r="D50" s="154"/>
      <c r="E50" s="153"/>
      <c r="F50" s="153"/>
      <c r="G50" s="153"/>
      <c r="H50" s="155"/>
      <c r="I50" s="153"/>
      <c r="J50" s="153"/>
      <c r="K50" s="153" t="s">
        <v>419</v>
      </c>
      <c r="L50" s="153"/>
      <c r="M50" s="153"/>
      <c r="N50" s="153"/>
      <c r="O50" s="153"/>
      <c r="P50" s="153" t="s">
        <v>29</v>
      </c>
      <c r="Q50" s="174"/>
      <c r="R50" s="174"/>
      <c r="S50" s="154"/>
      <c r="T50" s="180"/>
      <c r="U50" s="154"/>
      <c r="V50" s="154">
        <v>45478</v>
      </c>
      <c r="W50" s="180"/>
      <c r="X50" s="153" t="s">
        <v>88</v>
      </c>
      <c r="Y50" s="153"/>
      <c r="Z50" s="153"/>
      <c r="AA50" s="153"/>
      <c r="AB50" s="153" t="s">
        <v>196</v>
      </c>
      <c r="AC50" s="155"/>
      <c r="AD50" s="155"/>
      <c r="AE50" s="155"/>
      <c r="AF50" s="155"/>
      <c r="AG50" s="155"/>
      <c r="AH50" s="155"/>
      <c r="AI50" s="155"/>
      <c r="AJ50" s="155"/>
      <c r="AK50" s="155"/>
    </row>
    <row r="51" customHeight="1" spans="1:37">
      <c r="A51" s="153" t="s">
        <v>657</v>
      </c>
      <c r="B51" s="153" t="s">
        <v>189</v>
      </c>
      <c r="C51" s="153" t="s">
        <v>28</v>
      </c>
      <c r="D51" s="156">
        <v>6</v>
      </c>
      <c r="E51" s="153"/>
      <c r="F51" s="153"/>
      <c r="G51" s="153" t="s">
        <v>658</v>
      </c>
      <c r="H51" s="155"/>
      <c r="I51" s="159" t="s">
        <v>459</v>
      </c>
      <c r="J51" s="153"/>
      <c r="K51" s="153" t="s">
        <v>462</v>
      </c>
      <c r="L51" s="153"/>
      <c r="M51" s="155"/>
      <c r="N51" s="153"/>
      <c r="O51" s="153" t="s">
        <v>659</v>
      </c>
      <c r="P51" s="153"/>
      <c r="Q51" s="154"/>
      <c r="R51" s="154"/>
      <c r="S51" s="154"/>
      <c r="T51" s="180"/>
      <c r="U51" s="154"/>
      <c r="V51" s="154">
        <v>45478</v>
      </c>
      <c r="W51" s="180"/>
      <c r="X51" s="153" t="s">
        <v>88</v>
      </c>
      <c r="Y51" s="153"/>
      <c r="Z51" s="153"/>
      <c r="AA51" s="153"/>
      <c r="AB51" s="153" t="s">
        <v>196</v>
      </c>
      <c r="AC51" s="155"/>
      <c r="AD51" s="155"/>
      <c r="AE51" s="155"/>
      <c r="AF51" s="155"/>
      <c r="AG51" s="155"/>
      <c r="AH51" s="155"/>
      <c r="AI51" s="155"/>
      <c r="AJ51" s="155"/>
      <c r="AK51" s="155"/>
    </row>
    <row r="52" customHeight="1" spans="1:37">
      <c r="A52" s="153" t="s">
        <v>471</v>
      </c>
      <c r="B52" s="153" t="s">
        <v>189</v>
      </c>
      <c r="C52" s="153" t="s">
        <v>28</v>
      </c>
      <c r="D52" s="156">
        <v>3</v>
      </c>
      <c r="E52" s="158"/>
      <c r="F52" s="158"/>
      <c r="G52" s="153" t="s">
        <v>472</v>
      </c>
      <c r="H52" s="155"/>
      <c r="I52" s="153"/>
      <c r="J52" s="153"/>
      <c r="K52" s="348" t="s">
        <v>473</v>
      </c>
      <c r="L52" s="153"/>
      <c r="M52" s="153"/>
      <c r="N52" s="153"/>
      <c r="O52" s="153" t="s">
        <v>476</v>
      </c>
      <c r="P52" s="153" t="s">
        <v>477</v>
      </c>
      <c r="Q52" s="174"/>
      <c r="R52" s="174"/>
      <c r="S52" s="154"/>
      <c r="T52" s="153"/>
      <c r="U52" s="154"/>
      <c r="V52" s="154">
        <v>45467</v>
      </c>
      <c r="W52" s="153" t="s">
        <v>609</v>
      </c>
      <c r="X52" s="153" t="s">
        <v>660</v>
      </c>
      <c r="Y52" s="181">
        <v>45311</v>
      </c>
      <c r="Z52" s="153"/>
      <c r="AA52" s="153"/>
      <c r="AB52" s="153" t="s">
        <v>478</v>
      </c>
      <c r="AC52" s="155"/>
      <c r="AD52" s="155"/>
      <c r="AE52" s="155"/>
      <c r="AF52" s="155"/>
      <c r="AG52" s="155"/>
      <c r="AH52" s="155"/>
      <c r="AI52" s="155"/>
      <c r="AJ52" s="155"/>
      <c r="AK52" s="155"/>
    </row>
    <row r="53" customHeight="1" spans="1:37">
      <c r="A53" s="153" t="s">
        <v>661</v>
      </c>
      <c r="B53" s="153" t="s">
        <v>35</v>
      </c>
      <c r="C53" s="153" t="s">
        <v>28</v>
      </c>
      <c r="D53" s="154"/>
      <c r="E53" s="153" t="s">
        <v>501</v>
      </c>
      <c r="F53" s="153"/>
      <c r="G53" s="153" t="s">
        <v>662</v>
      </c>
      <c r="H53" s="155"/>
      <c r="I53" s="159" t="s">
        <v>663</v>
      </c>
      <c r="J53" s="153" t="s">
        <v>664</v>
      </c>
      <c r="K53" s="159" t="s">
        <v>665</v>
      </c>
      <c r="L53" s="153"/>
      <c r="M53" s="153"/>
      <c r="N53" s="153"/>
      <c r="O53" s="153"/>
      <c r="P53" s="153"/>
      <c r="Q53" s="174"/>
      <c r="R53" s="174"/>
      <c r="S53" s="154"/>
      <c r="T53" s="180"/>
      <c r="U53" s="154"/>
      <c r="V53" s="154"/>
      <c r="W53" s="180"/>
      <c r="X53" s="153"/>
      <c r="Y53" s="153"/>
      <c r="Z53" s="153"/>
      <c r="AA53" s="153"/>
      <c r="AB53" s="153"/>
      <c r="AC53" s="155"/>
      <c r="AD53" s="155"/>
      <c r="AE53" s="155"/>
      <c r="AF53" s="155"/>
      <c r="AG53" s="155"/>
      <c r="AH53" s="155"/>
      <c r="AI53" s="155"/>
      <c r="AJ53" s="155"/>
      <c r="AK53" s="155"/>
    </row>
    <row r="54" customHeight="1" spans="1:37">
      <c r="A54" s="153" t="s">
        <v>666</v>
      </c>
      <c r="B54" s="153" t="s">
        <v>35</v>
      </c>
      <c r="C54" s="153" t="s">
        <v>28</v>
      </c>
      <c r="D54" s="155"/>
      <c r="E54" s="153" t="s">
        <v>37</v>
      </c>
      <c r="F54" s="155"/>
      <c r="G54" s="159" t="s">
        <v>667</v>
      </c>
      <c r="H54" s="155"/>
      <c r="I54" s="153" t="s">
        <v>668</v>
      </c>
      <c r="K54" s="153" t="s">
        <v>669</v>
      </c>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row>
    <row r="55" customHeight="1" spans="1:37">
      <c r="A55" s="155"/>
      <c r="B55" s="155"/>
      <c r="C55" s="155"/>
      <c r="D55" s="155"/>
      <c r="E55" s="155"/>
      <c r="F55" s="155"/>
      <c r="G55" s="155"/>
      <c r="H55" s="155"/>
      <c r="I55" s="155"/>
      <c r="J55" s="155"/>
      <c r="K55" s="155"/>
      <c r="L55" s="155"/>
      <c r="M55" s="155"/>
      <c r="N55" s="155"/>
      <c r="O55" s="155"/>
      <c r="P55" s="155"/>
      <c r="Q55" s="155"/>
      <c r="R55" s="155"/>
      <c r="S55" s="155"/>
      <c r="T55" s="155"/>
      <c r="U55" s="155"/>
      <c r="V55" s="155"/>
      <c r="W55" s="155"/>
      <c r="X55" s="155"/>
      <c r="Y55" s="155"/>
      <c r="Z55" s="155"/>
      <c r="AA55" s="155"/>
      <c r="AB55" s="155"/>
      <c r="AC55" s="155"/>
      <c r="AD55" s="155"/>
      <c r="AE55" s="155"/>
      <c r="AF55" s="155"/>
      <c r="AG55" s="155"/>
      <c r="AH55" s="155"/>
      <c r="AI55" s="155"/>
      <c r="AJ55" s="155"/>
      <c r="AK55" s="155"/>
    </row>
    <row r="56" customHeight="1" spans="1:37">
      <c r="A56" s="155"/>
      <c r="B56" s="155"/>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row>
  </sheetData>
  <dataValidations count="2">
    <dataValidation type="list" allowBlank="1" showErrorMessage="1" sqref="B2:B54">
      <formula1>Area</formula1>
    </dataValidation>
    <dataValidation type="list" allowBlank="1" showErrorMessage="1" sqref="C2:C54">
      <formula1>Alias</formula1>
    </dataValidation>
  </dataValidations>
  <hyperlinks>
    <hyperlink ref="I2" r:id="rId1" display="https://www.facebook.com/HTRealtyPhilippines"/>
    <hyperlink ref="M2" r:id="rId2" display="https://htrealty.ph/"/>
    <hyperlink ref="J3" r:id="rId3" display="lea@davaoproperties.com"/>
    <hyperlink ref="I4" r:id="rId4" display="https://www.facebook.com/ApolonioandGeonzonRealtyDavaoCity/"/>
    <hyperlink ref="J4" r:id="rId5" display="davaoestateproperty@gmail.com"/>
    <hyperlink ref="M4" r:id="rId6" display="https://apolonioandgeonzonrealty.com/"/>
    <hyperlink ref="I6" r:id="rId7" display="https://www.facebook.com/messages/e2ee/t/8142342699162830"/>
    <hyperlink ref="M10" r:id="rId8" display="https://davaohouselot.com/mati-real-estate-broker/&#10;www.condodavao.com"/>
    <hyperlink ref="I11" r:id="rId9" display="https://www.facebook.com/DavaoPropertyRealty/"/>
    <hyperlink ref="M11" r:id="rId9" display="https://www.facebook.com/DavaoPropertyRealty/"/>
    <hyperlink ref="A14" r:id="rId10" display="Davao City Property.com"/>
    <hyperlink ref="M14" r:id="rId11" display="DavaoCityProperty.com"/>
    <hyperlink ref="M15" r:id="rId12" display="https://www.dmcihomes.com/"/>
    <hyperlink ref="I16" r:id="rId13" display="https://www.facebook.com/magdasalrealty/"/>
    <hyperlink ref="M16" r:id="rId1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I17" r:id="rId15" display="https://m.facebook.com/p/Mati-Real-Estate-100063533635462/"/>
    <hyperlink ref="I20" r:id="rId16" display="https://www.facebook.com/leoluis.navarro?mibextid=ZbWKwL"/>
    <hyperlink ref="I21" r:id="rId17" display="https://www.facebook.com/PrimabodeDavao "/>
    <hyperlink ref="I22" r:id="rId18" display="https://www.facebook.com/propertyseekerrealty"/>
    <hyperlink ref="M22" r:id="rId19" display="https://www.propseekerrealty.com/"/>
    <hyperlink ref="J23" r:id="rId20" display="amhelinabrahan08@gmail.com"/>
    <hyperlink ref="I26" r:id="rId21" display="https://www.facebook.com/stellarrealtyph/"/>
    <hyperlink ref="I27" r:id="rId22" display="https://www.facebook.com/profile.php?id=100076220557970"/>
    <hyperlink ref="I28" r:id="rId23" display="https://www.facebook.com/villocinorealty/"/>
    <hyperlink ref="I30" r:id="rId24" display="https://www.facebook.com/danny.gaede"/>
    <hyperlink ref="I33" r:id="rId25" display="https://www.facebook.com/beautyferl?mibextid=ZbWKwL"/>
    <hyperlink ref="I38" r:id="rId26" display="https://www.facebook.com/rosedale.raiden.7"/>
    <hyperlink ref="I39" r:id="rId27" display="https://www.facebook.com/permalink.php/?story_fbid=102997225544310&amp;id=102918528885513"/>
    <hyperlink ref="I42" r:id="rId28" display="https://www.facebook.com/princedior.sepe"/>
    <hyperlink ref="I43" r:id="rId29" display="https://www.messenger.com/e2ee/t/8060634060665609 "/>
    <hyperlink ref="I44" r:id="rId30" display="https://www.facebook.com/tissueculturebanana/"/>
    <hyperlink ref="I45" r:id="rId31" display="https://www.facebook.com/mirafer.fernandez.2024/"/>
    <hyperlink ref="I47" r:id="rId32" display="https://www.messenger.com/e2ee/t/7742729382478496"/>
    <hyperlink ref="M48" r:id="rId33" display="https://propertyproviders.ph/pioneers/"/>
    <hyperlink ref="I49" r:id="rId34" display="https://www.facebook.com/RMERUSSELREALTY/"/>
    <hyperlink ref="I51" r:id="rId35" display="https://www.facebook.com/emilia.fajardo.pabilan"/>
    <hyperlink ref="I53" r:id="rId36" display="https://www.facebook.com/HomesPlatinumRealty/&#10;https://www.facebook.com/BlackAngel0414?mibextid=LQQJ4d"/>
    <hyperlink ref="K53" r:id="rId37" display="https://www.facebook.com/BlackAngel0414?mibextid=LQQJ4d"/>
    <hyperlink ref="G54" r:id="rId38" display="https://www.facebook.com/HomesPlatinumRealty/"/>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Z7"/>
  <sheetViews>
    <sheetView workbookViewId="0">
      <selection activeCell="A1" sqref="A1"/>
    </sheetView>
  </sheetViews>
  <sheetFormatPr defaultColWidth="12.6272727272727" defaultRowHeight="15.75" customHeight="1" outlineLevelRow="6"/>
  <sheetData>
    <row r="2" customHeight="1" spans="1:26">
      <c r="A2" s="35" t="s">
        <v>670</v>
      </c>
      <c r="B2" s="35" t="s">
        <v>671</v>
      </c>
      <c r="C2" s="35" t="s">
        <v>545</v>
      </c>
      <c r="D2" s="35" t="s">
        <v>522</v>
      </c>
      <c r="E2" s="35" t="s">
        <v>523</v>
      </c>
      <c r="F2" s="35" t="s">
        <v>672</v>
      </c>
      <c r="G2" s="35" t="s">
        <v>13</v>
      </c>
      <c r="H2" s="36"/>
      <c r="I2" s="36"/>
      <c r="J2" s="36"/>
      <c r="K2" s="36"/>
      <c r="L2" s="36"/>
      <c r="M2" s="36"/>
      <c r="N2" s="36"/>
      <c r="O2" s="36"/>
      <c r="P2" s="36"/>
      <c r="Q2" s="36"/>
      <c r="R2" s="36"/>
      <c r="S2" s="36"/>
      <c r="T2" s="36"/>
      <c r="U2" s="36"/>
      <c r="V2" s="36"/>
      <c r="W2" s="36"/>
      <c r="X2" s="36"/>
      <c r="Y2" s="36"/>
      <c r="Z2" s="36"/>
    </row>
    <row r="3" customHeight="1" spans="1:5">
      <c r="A3" s="9" t="s">
        <v>250</v>
      </c>
      <c r="B3" s="146">
        <v>45872</v>
      </c>
      <c r="D3" s="147" t="s">
        <v>26</v>
      </c>
      <c r="E3" s="9" t="s">
        <v>254</v>
      </c>
    </row>
    <row r="4" customHeight="1" spans="1:5">
      <c r="A4" s="9" t="s">
        <v>483</v>
      </c>
      <c r="B4" s="148">
        <v>45869</v>
      </c>
      <c r="D4" s="349" t="s">
        <v>673</v>
      </c>
      <c r="E4" s="147" t="s">
        <v>485</v>
      </c>
    </row>
    <row r="5" customHeight="1" spans="1:5">
      <c r="A5" s="9" t="s">
        <v>275</v>
      </c>
      <c r="B5" s="148">
        <v>45868</v>
      </c>
      <c r="D5" s="9" t="s">
        <v>277</v>
      </c>
      <c r="E5" s="9" t="s">
        <v>278</v>
      </c>
    </row>
    <row r="6" customHeight="1" spans="1:7">
      <c r="A6" s="9" t="s">
        <v>674</v>
      </c>
      <c r="B6" s="148">
        <v>45851</v>
      </c>
      <c r="D6" s="9" t="s">
        <v>30</v>
      </c>
      <c r="G6" s="9" t="s">
        <v>30</v>
      </c>
    </row>
    <row r="7" customHeight="1" spans="1:4">
      <c r="A7" s="9" t="s">
        <v>218</v>
      </c>
      <c r="D7" s="9" t="s">
        <v>675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workbookViewId="0">
      <selection activeCell="A1" sqref="A1:D1"/>
    </sheetView>
  </sheetViews>
  <sheetFormatPr defaultColWidth="12.6272727272727" defaultRowHeight="15.75" customHeight="1" outlineLevelCol="4"/>
  <cols>
    <col min="1" max="1" width="13.8818181818182" customWidth="1"/>
    <col min="2" max="2" width="12.8818181818182" customWidth="1"/>
    <col min="3" max="4" width="15.3818181818182" customWidth="1"/>
    <col min="5" max="5" width="13.3818181818182" customWidth="1"/>
    <col min="6" max="26" width="11.6272727272727" customWidth="1"/>
  </cols>
  <sheetData>
    <row r="1" ht="18" customHeight="1" spans="1:4">
      <c r="A1" s="130" t="s">
        <v>676</v>
      </c>
      <c r="B1" s="131"/>
      <c r="C1" s="131"/>
      <c r="D1" s="132"/>
    </row>
    <row r="2" ht="18" customHeight="1" spans="1:5">
      <c r="A2" s="133" t="s">
        <v>677</v>
      </c>
      <c r="B2" s="134" t="s">
        <v>678</v>
      </c>
      <c r="C2" s="135" t="s">
        <v>679</v>
      </c>
      <c r="D2" s="136"/>
      <c r="E2" s="60" t="s">
        <v>680</v>
      </c>
    </row>
    <row r="3" ht="18" customHeight="1" spans="1:5">
      <c r="A3" s="137">
        <v>10</v>
      </c>
      <c r="B3" s="138">
        <f t="shared" ref="B3:B12" si="0">MIN(5+(A3-10)*1.666667,10)</f>
        <v>5</v>
      </c>
      <c r="C3" s="139">
        <f t="shared" ref="C3:C12" si="1">A3*B3*10000</f>
        <v>500000</v>
      </c>
      <c r="D3" s="140"/>
      <c r="E3" s="141">
        <f t="shared" ref="E3:E12" si="2">A3*1000000-C3</f>
        <v>9500000</v>
      </c>
    </row>
    <row r="4" ht="18" customHeight="1" spans="1:5">
      <c r="A4" s="137">
        <v>11</v>
      </c>
      <c r="B4" s="138">
        <f t="shared" si="0"/>
        <v>6.666667</v>
      </c>
      <c r="C4" s="139">
        <f t="shared" si="1"/>
        <v>733333.37</v>
      </c>
      <c r="D4" s="140"/>
      <c r="E4" s="141">
        <f t="shared" si="2"/>
        <v>10266666.63</v>
      </c>
    </row>
    <row r="5" ht="18" customHeight="1" spans="1:5">
      <c r="A5" s="137">
        <v>12</v>
      </c>
      <c r="B5" s="138">
        <f t="shared" si="0"/>
        <v>8.333334</v>
      </c>
      <c r="C5" s="139">
        <f t="shared" si="1"/>
        <v>1000000.08</v>
      </c>
      <c r="D5" s="140"/>
      <c r="E5" s="141">
        <f t="shared" si="2"/>
        <v>10999999.92</v>
      </c>
    </row>
    <row r="6" ht="18" customHeight="1" spans="1:5">
      <c r="A6" s="137">
        <v>13</v>
      </c>
      <c r="B6" s="138">
        <f t="shared" si="0"/>
        <v>10</v>
      </c>
      <c r="C6" s="139">
        <f t="shared" si="1"/>
        <v>1300000</v>
      </c>
      <c r="D6" s="140"/>
      <c r="E6" s="141">
        <f t="shared" si="2"/>
        <v>11700000</v>
      </c>
    </row>
    <row r="7" ht="18" customHeight="1" spans="1:5">
      <c r="A7" s="137">
        <v>14</v>
      </c>
      <c r="B7" s="138">
        <f t="shared" si="0"/>
        <v>10</v>
      </c>
      <c r="C7" s="139">
        <f t="shared" si="1"/>
        <v>1400000</v>
      </c>
      <c r="D7" s="140"/>
      <c r="E7" s="141">
        <f t="shared" si="2"/>
        <v>12600000</v>
      </c>
    </row>
    <row r="8" ht="18" customHeight="1" spans="1:5">
      <c r="A8" s="137">
        <v>15</v>
      </c>
      <c r="B8" s="138">
        <f t="shared" si="0"/>
        <v>10</v>
      </c>
      <c r="C8" s="139">
        <f t="shared" si="1"/>
        <v>1500000</v>
      </c>
      <c r="D8" s="140"/>
      <c r="E8" s="141">
        <f t="shared" si="2"/>
        <v>13500000</v>
      </c>
    </row>
    <row r="9" ht="18" customHeight="1" spans="1:5">
      <c r="A9" s="137">
        <v>16</v>
      </c>
      <c r="B9" s="138">
        <f t="shared" si="0"/>
        <v>10</v>
      </c>
      <c r="C9" s="139">
        <f t="shared" si="1"/>
        <v>1600000</v>
      </c>
      <c r="D9" s="140"/>
      <c r="E9" s="141">
        <f t="shared" si="2"/>
        <v>14400000</v>
      </c>
    </row>
    <row r="10" ht="18" customHeight="1" spans="1:5">
      <c r="A10" s="137">
        <v>17</v>
      </c>
      <c r="B10" s="138">
        <f t="shared" si="0"/>
        <v>10</v>
      </c>
      <c r="C10" s="139">
        <f t="shared" si="1"/>
        <v>1700000</v>
      </c>
      <c r="D10" s="140"/>
      <c r="E10" s="141">
        <f t="shared" si="2"/>
        <v>15300000</v>
      </c>
    </row>
    <row r="11" ht="18" customHeight="1" spans="1:5">
      <c r="A11" s="137">
        <v>18</v>
      </c>
      <c r="B11" s="138">
        <f t="shared" si="0"/>
        <v>10</v>
      </c>
      <c r="C11" s="139">
        <f t="shared" si="1"/>
        <v>1800000</v>
      </c>
      <c r="D11" s="140"/>
      <c r="E11" s="141">
        <f t="shared" si="2"/>
        <v>16200000</v>
      </c>
    </row>
    <row r="12" ht="18" customHeight="1" spans="1:5">
      <c r="A12" s="142">
        <v>12.6</v>
      </c>
      <c r="B12" s="143">
        <f t="shared" si="0"/>
        <v>9.3333342</v>
      </c>
      <c r="C12" s="144">
        <f t="shared" si="1"/>
        <v>1176000.1092</v>
      </c>
      <c r="D12" s="145"/>
      <c r="E12" s="141">
        <f t="shared" si="2"/>
        <v>11423999.8908</v>
      </c>
    </row>
    <row r="13" ht="18" customHeight="1" spans="2:2">
      <c r="B13" s="138"/>
    </row>
    <row r="14" ht="18" customHeight="1" spans="2:2">
      <c r="B14" s="138"/>
    </row>
    <row r="15" ht="18" customHeight="1" spans="2:2">
      <c r="B15" s="138"/>
    </row>
    <row r="16" ht="18" customHeight="1" spans="2:2">
      <c r="B16" s="138"/>
    </row>
    <row r="17" ht="18" customHeight="1" spans="2:2">
      <c r="B17" s="138"/>
    </row>
    <row r="18" ht="18" customHeight="1" spans="2:2">
      <c r="B18" s="138"/>
    </row>
    <row r="19" ht="18" customHeight="1" spans="2:2">
      <c r="B19" s="138"/>
    </row>
    <row r="20" ht="18" customHeight="1" spans="2:2">
      <c r="B20" s="138"/>
    </row>
    <row r="21" ht="18" customHeight="1" spans="2:2">
      <c r="B21" s="138"/>
    </row>
    <row r="22" ht="18" customHeight="1" spans="2:2">
      <c r="B22" s="138"/>
    </row>
    <row r="23" ht="18" customHeight="1" spans="2:2">
      <c r="B23" s="138"/>
    </row>
    <row r="24" ht="18" customHeight="1" spans="2:2">
      <c r="B24" s="138"/>
    </row>
    <row r="25" ht="18" customHeight="1" spans="2:2">
      <c r="B25" s="138"/>
    </row>
    <row r="26" ht="18" customHeight="1" spans="2:2">
      <c r="B26" s="138"/>
    </row>
    <row r="27" ht="18" customHeight="1" spans="2:2">
      <c r="B27" s="138"/>
    </row>
    <row r="28" ht="18" customHeight="1" spans="2:2">
      <c r="B28" s="138"/>
    </row>
    <row r="29" ht="18" customHeight="1" spans="2:2">
      <c r="B29" s="138"/>
    </row>
    <row r="30" ht="18" customHeight="1" spans="2:2">
      <c r="B30" s="138"/>
    </row>
    <row r="31" ht="18" customHeight="1" spans="2:2">
      <c r="B31" s="138"/>
    </row>
    <row r="32" ht="18" customHeight="1" spans="2:2">
      <c r="B32" s="138"/>
    </row>
    <row r="33" ht="18" customHeight="1" spans="2:2">
      <c r="B33" s="138"/>
    </row>
    <row r="34" ht="18" customHeight="1" spans="2:2">
      <c r="B34" s="138"/>
    </row>
    <row r="35" ht="18" customHeight="1" spans="2:2">
      <c r="B35" s="138"/>
    </row>
    <row r="36" ht="18" customHeight="1" spans="2:2">
      <c r="B36" s="138"/>
    </row>
    <row r="37" ht="18" customHeight="1" spans="2:2">
      <c r="B37" s="138"/>
    </row>
    <row r="38" ht="18" customHeight="1" spans="2:2">
      <c r="B38" s="138"/>
    </row>
    <row r="39" ht="18" customHeight="1" spans="2:2">
      <c r="B39" s="138"/>
    </row>
    <row r="40" ht="18" customHeight="1" spans="2:2">
      <c r="B40" s="138"/>
    </row>
    <row r="41" ht="18" customHeight="1" spans="2:2">
      <c r="B41" s="138"/>
    </row>
    <row r="42" ht="18" customHeight="1" spans="2:2">
      <c r="B42" s="138"/>
    </row>
    <row r="43" ht="18" customHeight="1" spans="2:2">
      <c r="B43" s="138"/>
    </row>
    <row r="44" ht="18" customHeight="1" spans="2:2">
      <c r="B44" s="138"/>
    </row>
    <row r="45" ht="18" customHeight="1" spans="2:2">
      <c r="B45" s="138"/>
    </row>
    <row r="46" ht="18" customHeight="1" spans="2:2">
      <c r="B46" s="138"/>
    </row>
    <row r="47" ht="18" customHeight="1" spans="2:2">
      <c r="B47" s="138"/>
    </row>
    <row r="48" ht="18" customHeight="1" spans="2:2">
      <c r="B48" s="138"/>
    </row>
    <row r="49" ht="18" customHeight="1" spans="2:2">
      <c r="B49" s="138"/>
    </row>
    <row r="50" ht="18" customHeight="1" spans="2:2">
      <c r="B50" s="138"/>
    </row>
    <row r="51" ht="18" customHeight="1" spans="2:2">
      <c r="B51" s="138"/>
    </row>
    <row r="52" ht="18" customHeight="1" spans="2:2">
      <c r="B52" s="138"/>
    </row>
    <row r="53" ht="18" customHeight="1" spans="2:2">
      <c r="B53" s="138"/>
    </row>
    <row r="54" ht="18" customHeight="1" spans="2:2">
      <c r="B54" s="138"/>
    </row>
    <row r="55" ht="18" customHeight="1" spans="2:2">
      <c r="B55" s="138"/>
    </row>
    <row r="56" ht="18" customHeight="1" spans="2:2">
      <c r="B56" s="138"/>
    </row>
    <row r="57" ht="18" customHeight="1" spans="2:2">
      <c r="B57" s="138"/>
    </row>
    <row r="58" ht="18" customHeight="1" spans="2:2">
      <c r="B58" s="138"/>
    </row>
    <row r="59" ht="18" customHeight="1" spans="2:2">
      <c r="B59" s="138"/>
    </row>
    <row r="60" ht="18" customHeight="1" spans="2:2">
      <c r="B60" s="138"/>
    </row>
    <row r="61" ht="18" customHeight="1" spans="2:2">
      <c r="B61" s="138"/>
    </row>
    <row r="62" ht="18" customHeight="1" spans="2:2">
      <c r="B62" s="138"/>
    </row>
    <row r="63" ht="18" customHeight="1" spans="2:2">
      <c r="B63" s="138"/>
    </row>
    <row r="64" ht="18" customHeight="1" spans="2:2">
      <c r="B64" s="138"/>
    </row>
    <row r="65" ht="18" customHeight="1" spans="2:2">
      <c r="B65" s="138"/>
    </row>
    <row r="66" ht="18" customHeight="1" spans="2:2">
      <c r="B66" s="138"/>
    </row>
    <row r="67" ht="18" customHeight="1" spans="2:2">
      <c r="B67" s="138"/>
    </row>
    <row r="68" ht="18" customHeight="1" spans="2:2">
      <c r="B68" s="138"/>
    </row>
    <row r="69" ht="18" customHeight="1" spans="2:2">
      <c r="B69" s="138"/>
    </row>
    <row r="70" ht="18" customHeight="1" spans="2:2">
      <c r="B70" s="138"/>
    </row>
    <row r="71" ht="18" customHeight="1" spans="2:2">
      <c r="B71" s="138"/>
    </row>
    <row r="72" ht="18" customHeight="1" spans="2:2">
      <c r="B72" s="138"/>
    </row>
    <row r="73" ht="18" customHeight="1" spans="2:2">
      <c r="B73" s="138"/>
    </row>
    <row r="74" ht="18" customHeight="1" spans="2:2">
      <c r="B74" s="138"/>
    </row>
    <row r="75" ht="18" customHeight="1" spans="2:2">
      <c r="B75" s="138"/>
    </row>
    <row r="76" ht="18" customHeight="1" spans="2:2">
      <c r="B76" s="138"/>
    </row>
    <row r="77" ht="18" customHeight="1" spans="2:2">
      <c r="B77" s="138"/>
    </row>
    <row r="78" ht="18" customHeight="1" spans="2:2">
      <c r="B78" s="138"/>
    </row>
    <row r="79" ht="18" customHeight="1" spans="2:2">
      <c r="B79" s="138"/>
    </row>
    <row r="80" ht="18" customHeight="1" spans="2:2">
      <c r="B80" s="138"/>
    </row>
    <row r="81" ht="18" customHeight="1" spans="2:2">
      <c r="B81" s="138"/>
    </row>
    <row r="82" ht="18" customHeight="1" spans="2:2">
      <c r="B82" s="138"/>
    </row>
    <row r="83" ht="18" customHeight="1" spans="2:2">
      <c r="B83" s="138"/>
    </row>
    <row r="84" ht="18" customHeight="1" spans="2:2">
      <c r="B84" s="138"/>
    </row>
    <row r="85" ht="18" customHeight="1" spans="2:2">
      <c r="B85" s="138"/>
    </row>
    <row r="86" ht="18" customHeight="1" spans="2:2">
      <c r="B86" s="138"/>
    </row>
    <row r="87" ht="18" customHeight="1" spans="2:2">
      <c r="B87" s="138"/>
    </row>
    <row r="88" ht="18" customHeight="1" spans="2:2">
      <c r="B88" s="138"/>
    </row>
    <row r="89" ht="18" customHeight="1" spans="2:2">
      <c r="B89" s="138"/>
    </row>
    <row r="90" ht="18" customHeight="1" spans="2:2">
      <c r="B90" s="138"/>
    </row>
    <row r="91" ht="18" customHeight="1" spans="2:2">
      <c r="B91" s="138"/>
    </row>
    <row r="92" ht="18" customHeight="1" spans="2:2">
      <c r="B92" s="138"/>
    </row>
    <row r="93" ht="18" customHeight="1" spans="2:2">
      <c r="B93" s="138"/>
    </row>
    <row r="94" ht="18" customHeight="1" spans="2:2">
      <c r="B94" s="138"/>
    </row>
    <row r="95" ht="18" customHeight="1" spans="2:2">
      <c r="B95" s="138"/>
    </row>
    <row r="96" ht="18" customHeight="1" spans="2:2">
      <c r="B96" s="138"/>
    </row>
    <row r="97" ht="18" customHeight="1" spans="2:2">
      <c r="B97" s="138"/>
    </row>
    <row r="98" ht="18" customHeight="1" spans="2:2">
      <c r="B98" s="138"/>
    </row>
    <row r="99" ht="18" customHeight="1" spans="2:2">
      <c r="B99" s="138"/>
    </row>
    <row r="100" ht="18" customHeight="1" spans="2:2">
      <c r="B100" s="138"/>
    </row>
    <row r="101" ht="18" customHeight="1" spans="2:2">
      <c r="B101" s="138"/>
    </row>
    <row r="102" ht="18" customHeight="1" spans="2:2">
      <c r="B102" s="138"/>
    </row>
    <row r="103" ht="18" customHeight="1" spans="2:2">
      <c r="B103" s="138"/>
    </row>
    <row r="104" ht="18" customHeight="1" spans="2:2">
      <c r="B104" s="138"/>
    </row>
    <row r="105" ht="18" customHeight="1" spans="2:2">
      <c r="B105" s="138"/>
    </row>
    <row r="106" ht="18" customHeight="1" spans="2:2">
      <c r="B106" s="138"/>
    </row>
    <row r="107" ht="18" customHeight="1" spans="2:2">
      <c r="B107" s="138"/>
    </row>
    <row r="108" ht="18" customHeight="1" spans="2:2">
      <c r="B108" s="138"/>
    </row>
    <row r="109" ht="18" customHeight="1" spans="2:2">
      <c r="B109" s="138"/>
    </row>
    <row r="110" ht="18" customHeight="1" spans="2:2">
      <c r="B110" s="138"/>
    </row>
    <row r="111" ht="18" customHeight="1" spans="2:2">
      <c r="B111" s="138"/>
    </row>
    <row r="112" ht="18" customHeight="1" spans="2:2">
      <c r="B112" s="138"/>
    </row>
    <row r="113" ht="18" customHeight="1" spans="2:2">
      <c r="B113" s="138"/>
    </row>
    <row r="114" ht="18" customHeight="1" spans="2:2">
      <c r="B114" s="138"/>
    </row>
    <row r="115" ht="18" customHeight="1" spans="2:2">
      <c r="B115" s="138"/>
    </row>
    <row r="116" ht="18" customHeight="1" spans="2:2">
      <c r="B116" s="138"/>
    </row>
    <row r="117" ht="18" customHeight="1" spans="2:2">
      <c r="B117" s="138"/>
    </row>
    <row r="118" ht="18" customHeight="1" spans="2:2">
      <c r="B118" s="138"/>
    </row>
    <row r="119" ht="18" customHeight="1" spans="2:2">
      <c r="B119" s="138"/>
    </row>
    <row r="120" ht="18" customHeight="1" spans="2:2">
      <c r="B120" s="138"/>
    </row>
    <row r="121" ht="18" customHeight="1" spans="2:2">
      <c r="B121" s="138"/>
    </row>
    <row r="122" ht="18" customHeight="1" spans="2:2">
      <c r="B122" s="138"/>
    </row>
    <row r="123" ht="18" customHeight="1" spans="2:2">
      <c r="B123" s="138"/>
    </row>
    <row r="124" ht="18" customHeight="1" spans="2:2">
      <c r="B124" s="138"/>
    </row>
    <row r="125" ht="18" customHeight="1" spans="2:2">
      <c r="B125" s="138"/>
    </row>
    <row r="126" ht="18" customHeight="1" spans="2:2">
      <c r="B126" s="138"/>
    </row>
    <row r="127" ht="18" customHeight="1" spans="2:2">
      <c r="B127" s="138"/>
    </row>
    <row r="128" ht="18" customHeight="1" spans="2:2">
      <c r="B128" s="138"/>
    </row>
    <row r="129" ht="18" customHeight="1" spans="2:2">
      <c r="B129" s="138"/>
    </row>
    <row r="130" ht="18" customHeight="1" spans="2:2">
      <c r="B130" s="138"/>
    </row>
    <row r="131" ht="18" customHeight="1" spans="2:2">
      <c r="B131" s="138"/>
    </row>
    <row r="132" ht="18" customHeight="1" spans="2:2">
      <c r="B132" s="138"/>
    </row>
    <row r="133" ht="18" customHeight="1" spans="2:2">
      <c r="B133" s="138"/>
    </row>
    <row r="134" ht="18" customHeight="1" spans="2:2">
      <c r="B134" s="138"/>
    </row>
    <row r="135" ht="18" customHeight="1" spans="2:2">
      <c r="B135" s="138"/>
    </row>
    <row r="136" ht="18" customHeight="1" spans="2:2">
      <c r="B136" s="138"/>
    </row>
    <row r="137" ht="18" customHeight="1" spans="2:2">
      <c r="B137" s="138"/>
    </row>
    <row r="138" ht="18" customHeight="1" spans="2:2">
      <c r="B138" s="138"/>
    </row>
    <row r="139" ht="18" customHeight="1" spans="2:2">
      <c r="B139" s="138"/>
    </row>
    <row r="140" ht="18" customHeight="1" spans="2:2">
      <c r="B140" s="138"/>
    </row>
    <row r="141" ht="18" customHeight="1" spans="2:2">
      <c r="B141" s="138"/>
    </row>
    <row r="142" ht="18" customHeight="1" spans="2:2">
      <c r="B142" s="138"/>
    </row>
    <row r="143" ht="18" customHeight="1" spans="2:2">
      <c r="B143" s="138"/>
    </row>
    <row r="144" ht="18" customHeight="1" spans="2:2">
      <c r="B144" s="138"/>
    </row>
    <row r="145" ht="18" customHeight="1" spans="2:2">
      <c r="B145" s="138"/>
    </row>
    <row r="146" ht="18" customHeight="1" spans="2:2">
      <c r="B146" s="138"/>
    </row>
    <row r="147" ht="18" customHeight="1" spans="2:2">
      <c r="B147" s="138"/>
    </row>
    <row r="148" ht="18" customHeight="1" spans="2:2">
      <c r="B148" s="138"/>
    </row>
    <row r="149" ht="18" customHeight="1" spans="2:2">
      <c r="B149" s="138"/>
    </row>
    <row r="150" ht="18" customHeight="1" spans="2:2">
      <c r="B150" s="138"/>
    </row>
    <row r="151" ht="18" customHeight="1" spans="2:2">
      <c r="B151" s="138"/>
    </row>
    <row r="152" ht="18" customHeight="1" spans="2:2">
      <c r="B152" s="138"/>
    </row>
    <row r="153" ht="18" customHeight="1" spans="2:2">
      <c r="B153" s="138"/>
    </row>
    <row r="154" ht="18" customHeight="1" spans="2:2">
      <c r="B154" s="138"/>
    </row>
    <row r="155" ht="18" customHeight="1" spans="2:2">
      <c r="B155" s="138"/>
    </row>
    <row r="156" ht="18" customHeight="1" spans="2:2">
      <c r="B156" s="138"/>
    </row>
    <row r="157" ht="18" customHeight="1" spans="2:2">
      <c r="B157" s="138"/>
    </row>
    <row r="158" ht="18" customHeight="1" spans="2:2">
      <c r="B158" s="138"/>
    </row>
    <row r="159" ht="18" customHeight="1" spans="2:2">
      <c r="B159" s="138"/>
    </row>
    <row r="160" ht="18" customHeight="1" spans="2:2">
      <c r="B160" s="138"/>
    </row>
    <row r="161" ht="18" customHeight="1" spans="2:2">
      <c r="B161" s="138"/>
    </row>
    <row r="162" ht="18" customHeight="1" spans="2:2">
      <c r="B162" s="138"/>
    </row>
    <row r="163" ht="18" customHeight="1" spans="2:2">
      <c r="B163" s="138"/>
    </row>
    <row r="164" ht="18" customHeight="1" spans="2:2">
      <c r="B164" s="138"/>
    </row>
    <row r="165" ht="18" customHeight="1" spans="2:2">
      <c r="B165" s="138"/>
    </row>
    <row r="166" ht="18" customHeight="1" spans="2:2">
      <c r="B166" s="138"/>
    </row>
    <row r="167" ht="18" customHeight="1" spans="2:2">
      <c r="B167" s="138"/>
    </row>
    <row r="168" ht="18" customHeight="1" spans="2:2">
      <c r="B168" s="138"/>
    </row>
    <row r="169" ht="18" customHeight="1" spans="2:2">
      <c r="B169" s="138"/>
    </row>
    <row r="170" ht="18" customHeight="1" spans="2:2">
      <c r="B170" s="138"/>
    </row>
    <row r="171" ht="18" customHeight="1" spans="2:2">
      <c r="B171" s="138"/>
    </row>
    <row r="172" ht="18" customHeight="1" spans="2:2">
      <c r="B172" s="138"/>
    </row>
    <row r="173" ht="18" customHeight="1" spans="2:2">
      <c r="B173" s="138"/>
    </row>
    <row r="174" ht="18" customHeight="1" spans="2:2">
      <c r="B174" s="138"/>
    </row>
    <row r="175" ht="18" customHeight="1" spans="2:2">
      <c r="B175" s="138"/>
    </row>
    <row r="176" ht="18" customHeight="1" spans="2:2">
      <c r="B176" s="138"/>
    </row>
    <row r="177" ht="18" customHeight="1" spans="2:2">
      <c r="B177" s="138"/>
    </row>
    <row r="178" ht="18" customHeight="1" spans="2:2">
      <c r="B178" s="138"/>
    </row>
    <row r="179" ht="18" customHeight="1" spans="2:2">
      <c r="B179" s="138"/>
    </row>
    <row r="180" ht="18" customHeight="1" spans="2:2">
      <c r="B180" s="138"/>
    </row>
    <row r="181" ht="18" customHeight="1" spans="2:2">
      <c r="B181" s="138"/>
    </row>
    <row r="182" ht="18" customHeight="1" spans="2:2">
      <c r="B182" s="138"/>
    </row>
    <row r="183" ht="18" customHeight="1" spans="2:2">
      <c r="B183" s="138"/>
    </row>
    <row r="184" ht="18" customHeight="1" spans="2:2">
      <c r="B184" s="138"/>
    </row>
    <row r="185" ht="18" customHeight="1" spans="2:2">
      <c r="B185" s="138"/>
    </row>
    <row r="186" ht="18" customHeight="1" spans="2:2">
      <c r="B186" s="138"/>
    </row>
    <row r="187" ht="18" customHeight="1" spans="2:2">
      <c r="B187" s="138"/>
    </row>
    <row r="188" ht="18" customHeight="1" spans="2:2">
      <c r="B188" s="138"/>
    </row>
    <row r="189" ht="18" customHeight="1" spans="2:2">
      <c r="B189" s="138"/>
    </row>
    <row r="190" ht="18" customHeight="1" spans="2:2">
      <c r="B190" s="138"/>
    </row>
    <row r="191" ht="18" customHeight="1" spans="2:2">
      <c r="B191" s="138"/>
    </row>
    <row r="192" ht="18" customHeight="1" spans="2:2">
      <c r="B192" s="138"/>
    </row>
    <row r="193" ht="18" customHeight="1" spans="2:2">
      <c r="B193" s="138"/>
    </row>
    <row r="194" ht="18" customHeight="1" spans="2:2">
      <c r="B194" s="138"/>
    </row>
    <row r="195" ht="18" customHeight="1" spans="2:2">
      <c r="B195" s="138"/>
    </row>
    <row r="196" ht="18" customHeight="1" spans="2:2">
      <c r="B196" s="138"/>
    </row>
    <row r="197" ht="18" customHeight="1" spans="2:2">
      <c r="B197" s="138"/>
    </row>
    <row r="198" ht="18" customHeight="1" spans="2:2">
      <c r="B198" s="138"/>
    </row>
    <row r="199" ht="18" customHeight="1" spans="2:2">
      <c r="B199" s="138"/>
    </row>
    <row r="200" ht="18" customHeight="1" spans="2:2">
      <c r="B200" s="138"/>
    </row>
    <row r="201" ht="18" customHeight="1" spans="2:2">
      <c r="B201" s="138"/>
    </row>
    <row r="202" ht="18" customHeight="1" spans="2:2">
      <c r="B202" s="138"/>
    </row>
    <row r="203" ht="18" customHeight="1" spans="2:2">
      <c r="B203" s="138"/>
    </row>
    <row r="204" ht="18" customHeight="1" spans="2:2">
      <c r="B204" s="138"/>
    </row>
    <row r="205" ht="18" customHeight="1" spans="2:2">
      <c r="B205" s="138"/>
    </row>
    <row r="206" ht="18" customHeight="1" spans="2:2">
      <c r="B206" s="138"/>
    </row>
    <row r="207" ht="18" customHeight="1" spans="2:2">
      <c r="B207" s="138"/>
    </row>
    <row r="208" ht="18" customHeight="1" spans="2:2">
      <c r="B208" s="138"/>
    </row>
    <row r="209" ht="18" customHeight="1" spans="2:2">
      <c r="B209" s="138"/>
    </row>
    <row r="210" ht="18" customHeight="1" spans="2:2">
      <c r="B210" s="138"/>
    </row>
    <row r="211" ht="18" customHeight="1" spans="2:2">
      <c r="B211" s="138"/>
    </row>
    <row r="212" ht="18" customHeight="1" spans="2:2">
      <c r="B212" s="138"/>
    </row>
    <row r="213" ht="18" customHeight="1" spans="2:2">
      <c r="B213" s="138"/>
    </row>
    <row r="214" ht="18" customHeight="1" spans="2:2">
      <c r="B214" s="138"/>
    </row>
    <row r="215" ht="18" customHeight="1" spans="2:2">
      <c r="B215" s="138"/>
    </row>
    <row r="216" ht="18" customHeight="1" spans="2:2">
      <c r="B216" s="138"/>
    </row>
    <row r="217" ht="18" customHeight="1" spans="2:2">
      <c r="B217" s="138"/>
    </row>
    <row r="218" ht="18" customHeight="1" spans="2:2">
      <c r="B218" s="138"/>
    </row>
    <row r="219" ht="18" customHeight="1" spans="2:2">
      <c r="B219" s="138"/>
    </row>
    <row r="220" ht="18" customHeight="1" spans="2:2">
      <c r="B220" s="138"/>
    </row>
    <row r="221" ht="18" customHeight="1" spans="2:2">
      <c r="B221" s="138"/>
    </row>
    <row r="222" ht="18" customHeight="1" spans="2:2">
      <c r="B222" s="138"/>
    </row>
    <row r="223" ht="18" customHeight="1" spans="2:2">
      <c r="B223" s="138"/>
    </row>
    <row r="224" ht="18" customHeight="1" spans="2:2">
      <c r="B224" s="138"/>
    </row>
    <row r="225" ht="18" customHeight="1" spans="2:2">
      <c r="B225" s="138"/>
    </row>
    <row r="226" ht="18" customHeight="1" spans="2:2">
      <c r="B226" s="138"/>
    </row>
    <row r="227" ht="18" customHeight="1" spans="2:2">
      <c r="B227" s="138"/>
    </row>
    <row r="228" ht="18" customHeight="1" spans="2:2">
      <c r="B228" s="138"/>
    </row>
    <row r="229" ht="18" customHeight="1" spans="2:2">
      <c r="B229" s="138"/>
    </row>
    <row r="230" ht="18" customHeight="1" spans="2:2">
      <c r="B230" s="138"/>
    </row>
    <row r="231" ht="18" customHeight="1" spans="2:2">
      <c r="B231" s="138"/>
    </row>
    <row r="232" ht="18" customHeight="1" spans="2:2">
      <c r="B232" s="138"/>
    </row>
    <row r="233" ht="18" customHeight="1" spans="2:2">
      <c r="B233" s="138"/>
    </row>
    <row r="234" ht="18" customHeight="1" spans="2:2">
      <c r="B234" s="138"/>
    </row>
    <row r="235" ht="18" customHeight="1" spans="2:2">
      <c r="B235" s="138"/>
    </row>
    <row r="236" ht="18" customHeight="1" spans="2:2">
      <c r="B236" s="138"/>
    </row>
    <row r="237" ht="18" customHeight="1" spans="2:2">
      <c r="B237" s="138"/>
    </row>
    <row r="238" ht="18" customHeight="1" spans="2:2">
      <c r="B238" s="138"/>
    </row>
    <row r="239" ht="18" customHeight="1" spans="2:2">
      <c r="B239" s="138"/>
    </row>
    <row r="240" ht="18" customHeight="1" spans="2:2">
      <c r="B240" s="138"/>
    </row>
    <row r="241" ht="18" customHeight="1" spans="2:2">
      <c r="B241" s="138"/>
    </row>
    <row r="242" ht="18" customHeight="1" spans="2:2">
      <c r="B242" s="138"/>
    </row>
    <row r="243" ht="18" customHeight="1" spans="2:2">
      <c r="B243" s="138"/>
    </row>
    <row r="244" ht="18" customHeight="1" spans="2:2">
      <c r="B244" s="138"/>
    </row>
    <row r="245" ht="18" customHeight="1" spans="2:2">
      <c r="B245" s="138"/>
    </row>
    <row r="246" ht="18" customHeight="1" spans="2:2">
      <c r="B246" s="138"/>
    </row>
    <row r="247" ht="18" customHeight="1" spans="2:2">
      <c r="B247" s="138"/>
    </row>
    <row r="248" ht="18" customHeight="1" spans="2:2">
      <c r="B248" s="138"/>
    </row>
    <row r="249" ht="18" customHeight="1" spans="2:2">
      <c r="B249" s="138"/>
    </row>
    <row r="250" ht="18" customHeight="1" spans="2:2">
      <c r="B250" s="138"/>
    </row>
    <row r="251" ht="18" customHeight="1" spans="2:2">
      <c r="B251" s="138"/>
    </row>
    <row r="252" ht="18" customHeight="1" spans="2:2">
      <c r="B252" s="138"/>
    </row>
    <row r="253" ht="18" customHeight="1" spans="2:2">
      <c r="B253" s="138"/>
    </row>
    <row r="254" ht="18" customHeight="1" spans="2:2">
      <c r="B254" s="138"/>
    </row>
    <row r="255" ht="18" customHeight="1" spans="2:2">
      <c r="B255" s="138"/>
    </row>
    <row r="256" ht="18" customHeight="1" spans="2:2">
      <c r="B256" s="138"/>
    </row>
    <row r="257" ht="18" customHeight="1" spans="2:2">
      <c r="B257" s="138"/>
    </row>
    <row r="258" ht="18" customHeight="1" spans="2:2">
      <c r="B258" s="138"/>
    </row>
    <row r="259" ht="18" customHeight="1" spans="2:2">
      <c r="B259" s="138"/>
    </row>
    <row r="260" ht="18" customHeight="1" spans="2:2">
      <c r="B260" s="138"/>
    </row>
    <row r="261" ht="18" customHeight="1" spans="2:2">
      <c r="B261" s="138"/>
    </row>
    <row r="262" ht="18" customHeight="1" spans="2:2">
      <c r="B262" s="138"/>
    </row>
    <row r="263" ht="18" customHeight="1" spans="2:2">
      <c r="B263" s="138"/>
    </row>
    <row r="264" ht="18" customHeight="1" spans="2:2">
      <c r="B264" s="138"/>
    </row>
    <row r="265" ht="18" customHeight="1" spans="2:2">
      <c r="B265" s="138"/>
    </row>
    <row r="266" ht="18" customHeight="1" spans="2:2">
      <c r="B266" s="138"/>
    </row>
    <row r="267" ht="18" customHeight="1" spans="2:2">
      <c r="B267" s="138"/>
    </row>
    <row r="268" ht="18" customHeight="1" spans="2:2">
      <c r="B268" s="138"/>
    </row>
    <row r="269" ht="18" customHeight="1" spans="2:2">
      <c r="B269" s="138"/>
    </row>
    <row r="270" ht="18" customHeight="1" spans="2:2">
      <c r="B270" s="138"/>
    </row>
    <row r="271" ht="18" customHeight="1" spans="2:2">
      <c r="B271" s="138"/>
    </row>
    <row r="272" ht="18" customHeight="1" spans="2:2">
      <c r="B272" s="138"/>
    </row>
    <row r="273" ht="18" customHeight="1" spans="2:2">
      <c r="B273" s="138"/>
    </row>
    <row r="274" ht="18" customHeight="1" spans="2:2">
      <c r="B274" s="138"/>
    </row>
    <row r="275" ht="18" customHeight="1" spans="2:2">
      <c r="B275" s="138"/>
    </row>
    <row r="276" ht="18" customHeight="1" spans="2:2">
      <c r="B276" s="138"/>
    </row>
    <row r="277" ht="18" customHeight="1" spans="2:2">
      <c r="B277" s="138"/>
    </row>
    <row r="278" ht="18" customHeight="1" spans="2:2">
      <c r="B278" s="138"/>
    </row>
    <row r="279" ht="18" customHeight="1" spans="2:2">
      <c r="B279" s="138"/>
    </row>
    <row r="280" ht="18" customHeight="1" spans="2:2">
      <c r="B280" s="138"/>
    </row>
    <row r="281" ht="18" customHeight="1" spans="2:2">
      <c r="B281" s="138"/>
    </row>
    <row r="282" ht="18" customHeight="1" spans="2:2">
      <c r="B282" s="138"/>
    </row>
    <row r="283" ht="18" customHeight="1" spans="2:2">
      <c r="B283" s="138"/>
    </row>
    <row r="284" ht="18" customHeight="1" spans="2:2">
      <c r="B284" s="138"/>
    </row>
    <row r="285" ht="18" customHeight="1" spans="2:2">
      <c r="B285" s="138"/>
    </row>
    <row r="286" ht="18" customHeight="1" spans="2:2">
      <c r="B286" s="138"/>
    </row>
    <row r="287" ht="18" customHeight="1" spans="2:2">
      <c r="B287" s="138"/>
    </row>
    <row r="288" ht="18" customHeight="1" spans="2:2">
      <c r="B288" s="138"/>
    </row>
    <row r="289" ht="18" customHeight="1" spans="2:2">
      <c r="B289" s="138"/>
    </row>
    <row r="290" ht="18" customHeight="1" spans="2:2">
      <c r="B290" s="138"/>
    </row>
    <row r="291" ht="18" customHeight="1" spans="2:2">
      <c r="B291" s="138"/>
    </row>
    <row r="292" ht="18" customHeight="1" spans="2:2">
      <c r="B292" s="138"/>
    </row>
    <row r="293" ht="18" customHeight="1" spans="2:2">
      <c r="B293" s="138"/>
    </row>
    <row r="294" ht="18" customHeight="1" spans="2:2">
      <c r="B294" s="138"/>
    </row>
    <row r="295" ht="18" customHeight="1" spans="2:2">
      <c r="B295" s="138"/>
    </row>
    <row r="296" ht="18" customHeight="1" spans="2:2">
      <c r="B296" s="138"/>
    </row>
    <row r="297" ht="18" customHeight="1" spans="2:2">
      <c r="B297" s="138"/>
    </row>
    <row r="298" ht="18" customHeight="1" spans="2:2">
      <c r="B298" s="138"/>
    </row>
    <row r="299" ht="18" customHeight="1" spans="2:2">
      <c r="B299" s="138"/>
    </row>
    <row r="300" ht="18" customHeight="1" spans="2:2">
      <c r="B300" s="138"/>
    </row>
    <row r="301" ht="18" customHeight="1" spans="2:2">
      <c r="B301" s="138"/>
    </row>
    <row r="302" ht="18" customHeight="1" spans="2:2">
      <c r="B302" s="138"/>
    </row>
    <row r="303" ht="18" customHeight="1" spans="2:2">
      <c r="B303" s="138"/>
    </row>
    <row r="304" ht="18" customHeight="1" spans="2:2">
      <c r="B304" s="138"/>
    </row>
    <row r="305" ht="18" customHeight="1" spans="2:2">
      <c r="B305" s="138"/>
    </row>
    <row r="306" ht="18" customHeight="1" spans="2:2">
      <c r="B306" s="138"/>
    </row>
    <row r="307" ht="18" customHeight="1" spans="2:2">
      <c r="B307" s="138"/>
    </row>
    <row r="308" ht="18" customHeight="1" spans="2:2">
      <c r="B308" s="138"/>
    </row>
    <row r="309" ht="18" customHeight="1" spans="2:2">
      <c r="B309" s="138"/>
    </row>
    <row r="310" ht="18" customHeight="1" spans="2:2">
      <c r="B310" s="138"/>
    </row>
    <row r="311" ht="18" customHeight="1" spans="2:2">
      <c r="B311" s="138"/>
    </row>
    <row r="312" ht="18" customHeight="1" spans="2:2">
      <c r="B312" s="138"/>
    </row>
    <row r="313" ht="18" customHeight="1" spans="2:2">
      <c r="B313" s="138"/>
    </row>
    <row r="314" ht="18" customHeight="1" spans="2:2">
      <c r="B314" s="138"/>
    </row>
    <row r="315" ht="18" customHeight="1" spans="2:2">
      <c r="B315" s="138"/>
    </row>
    <row r="316" ht="18" customHeight="1" spans="2:2">
      <c r="B316" s="138"/>
    </row>
    <row r="317" ht="18" customHeight="1" spans="2:2">
      <c r="B317" s="138"/>
    </row>
    <row r="318" ht="18" customHeight="1" spans="2:2">
      <c r="B318" s="138"/>
    </row>
    <row r="319" ht="18" customHeight="1" spans="2:2">
      <c r="B319" s="138"/>
    </row>
    <row r="320" ht="18" customHeight="1" spans="2:2">
      <c r="B320" s="138"/>
    </row>
    <row r="321" ht="18" customHeight="1" spans="2:2">
      <c r="B321" s="138"/>
    </row>
    <row r="322" ht="18" customHeight="1" spans="2:2">
      <c r="B322" s="138"/>
    </row>
    <row r="323" ht="18" customHeight="1" spans="2:2">
      <c r="B323" s="138"/>
    </row>
    <row r="324" ht="18" customHeight="1" spans="2:2">
      <c r="B324" s="138"/>
    </row>
    <row r="325" ht="18" customHeight="1" spans="2:2">
      <c r="B325" s="138"/>
    </row>
    <row r="326" ht="18" customHeight="1" spans="2:2">
      <c r="B326" s="138"/>
    </row>
    <row r="327" ht="18" customHeight="1" spans="2:2">
      <c r="B327" s="138"/>
    </row>
    <row r="328" ht="18" customHeight="1" spans="2:2">
      <c r="B328" s="138"/>
    </row>
    <row r="329" ht="18" customHeight="1" spans="2:2">
      <c r="B329" s="138"/>
    </row>
    <row r="330" ht="18" customHeight="1" spans="2:2">
      <c r="B330" s="138"/>
    </row>
    <row r="331" ht="18" customHeight="1" spans="2:2">
      <c r="B331" s="138"/>
    </row>
    <row r="332" ht="18" customHeight="1" spans="2:2">
      <c r="B332" s="138"/>
    </row>
    <row r="333" ht="18" customHeight="1" spans="2:2">
      <c r="B333" s="138"/>
    </row>
    <row r="334" ht="18" customHeight="1" spans="2:2">
      <c r="B334" s="138"/>
    </row>
    <row r="335" ht="18" customHeight="1" spans="2:2">
      <c r="B335" s="138"/>
    </row>
    <row r="336" ht="18" customHeight="1" spans="2:2">
      <c r="B336" s="138"/>
    </row>
    <row r="337" ht="18" customHeight="1" spans="2:2">
      <c r="B337" s="138"/>
    </row>
    <row r="338" ht="18" customHeight="1" spans="2:2">
      <c r="B338" s="138"/>
    </row>
    <row r="339" ht="18" customHeight="1" spans="2:2">
      <c r="B339" s="138"/>
    </row>
    <row r="340" ht="18" customHeight="1" spans="2:2">
      <c r="B340" s="138"/>
    </row>
    <row r="341" ht="18" customHeight="1" spans="2:2">
      <c r="B341" s="138"/>
    </row>
    <row r="342" ht="18" customHeight="1" spans="2:2">
      <c r="B342" s="138"/>
    </row>
    <row r="343" ht="18" customHeight="1" spans="2:2">
      <c r="B343" s="138"/>
    </row>
    <row r="344" ht="18" customHeight="1" spans="2:2">
      <c r="B344" s="138"/>
    </row>
    <row r="345" ht="18" customHeight="1" spans="2:2">
      <c r="B345" s="138"/>
    </row>
    <row r="346" ht="18" customHeight="1" spans="2:2">
      <c r="B346" s="138"/>
    </row>
    <row r="347" ht="18" customHeight="1" spans="2:2">
      <c r="B347" s="138"/>
    </row>
    <row r="348" ht="18" customHeight="1" spans="2:2">
      <c r="B348" s="138"/>
    </row>
    <row r="349" ht="18" customHeight="1" spans="2:2">
      <c r="B349" s="138"/>
    </row>
    <row r="350" ht="18" customHeight="1" spans="2:2">
      <c r="B350" s="138"/>
    </row>
    <row r="351" ht="18" customHeight="1" spans="2:2">
      <c r="B351" s="138"/>
    </row>
    <row r="352" ht="18" customHeight="1" spans="2:2">
      <c r="B352" s="138"/>
    </row>
    <row r="353" ht="18" customHeight="1" spans="2:2">
      <c r="B353" s="138"/>
    </row>
    <row r="354" ht="18" customHeight="1" spans="2:2">
      <c r="B354" s="138"/>
    </row>
    <row r="355" ht="18" customHeight="1" spans="2:2">
      <c r="B355" s="138"/>
    </row>
    <row r="356" ht="18" customHeight="1" spans="2:2">
      <c r="B356" s="138"/>
    </row>
    <row r="357" ht="18" customHeight="1" spans="2:2">
      <c r="B357" s="138"/>
    </row>
    <row r="358" ht="18" customHeight="1" spans="2:2">
      <c r="B358" s="138"/>
    </row>
    <row r="359" ht="18" customHeight="1" spans="2:2">
      <c r="B359" s="138"/>
    </row>
    <row r="360" ht="18" customHeight="1" spans="2:2">
      <c r="B360" s="138"/>
    </row>
    <row r="361" ht="18" customHeight="1" spans="2:2">
      <c r="B361" s="138"/>
    </row>
    <row r="362" ht="18" customHeight="1" spans="2:2">
      <c r="B362" s="138"/>
    </row>
    <row r="363" ht="18" customHeight="1" spans="2:2">
      <c r="B363" s="138"/>
    </row>
    <row r="364" ht="18" customHeight="1" spans="2:2">
      <c r="B364" s="138"/>
    </row>
    <row r="365" ht="18" customHeight="1" spans="2:2">
      <c r="B365" s="138"/>
    </row>
    <row r="366" ht="18" customHeight="1" spans="2:2">
      <c r="B366" s="138"/>
    </row>
    <row r="367" ht="18" customHeight="1" spans="2:2">
      <c r="B367" s="138"/>
    </row>
    <row r="368" ht="18" customHeight="1" spans="2:2">
      <c r="B368" s="138"/>
    </row>
    <row r="369" ht="18" customHeight="1" spans="2:2">
      <c r="B369" s="138"/>
    </row>
    <row r="370" ht="18" customHeight="1" spans="2:2">
      <c r="B370" s="138"/>
    </row>
    <row r="371" ht="18" customHeight="1" spans="2:2">
      <c r="B371" s="138"/>
    </row>
    <row r="372" ht="18" customHeight="1" spans="2:2">
      <c r="B372" s="138"/>
    </row>
    <row r="373" ht="18" customHeight="1" spans="2:2">
      <c r="B373" s="138"/>
    </row>
    <row r="374" ht="18" customHeight="1" spans="2:2">
      <c r="B374" s="138"/>
    </row>
    <row r="375" ht="18" customHeight="1" spans="2:2">
      <c r="B375" s="138"/>
    </row>
    <row r="376" ht="18" customHeight="1" spans="2:2">
      <c r="B376" s="138"/>
    </row>
    <row r="377" ht="18" customHeight="1" spans="2:2">
      <c r="B377" s="138"/>
    </row>
    <row r="378" ht="18" customHeight="1" spans="2:2">
      <c r="B378" s="138"/>
    </row>
    <row r="379" ht="18" customHeight="1" spans="2:2">
      <c r="B379" s="138"/>
    </row>
    <row r="380" ht="18" customHeight="1" spans="2:2">
      <c r="B380" s="138"/>
    </row>
    <row r="381" ht="18" customHeight="1" spans="2:2">
      <c r="B381" s="138"/>
    </row>
    <row r="382" ht="18" customHeight="1" spans="2:2">
      <c r="B382" s="138"/>
    </row>
    <row r="383" ht="18" customHeight="1" spans="2:2">
      <c r="B383" s="138"/>
    </row>
    <row r="384" ht="18" customHeight="1" spans="2:2">
      <c r="B384" s="138"/>
    </row>
    <row r="385" ht="18" customHeight="1" spans="2:2">
      <c r="B385" s="138"/>
    </row>
    <row r="386" ht="18" customHeight="1" spans="2:2">
      <c r="B386" s="138"/>
    </row>
    <row r="387" ht="18" customHeight="1" spans="2:2">
      <c r="B387" s="138"/>
    </row>
    <row r="388" ht="18" customHeight="1" spans="2:2">
      <c r="B388" s="138"/>
    </row>
    <row r="389" ht="18" customHeight="1" spans="2:2">
      <c r="B389" s="138"/>
    </row>
    <row r="390" ht="18" customHeight="1" spans="2:2">
      <c r="B390" s="138"/>
    </row>
    <row r="391" ht="18" customHeight="1" spans="2:2">
      <c r="B391" s="138"/>
    </row>
    <row r="392" ht="18" customHeight="1" spans="2:2">
      <c r="B392" s="138"/>
    </row>
    <row r="393" ht="18" customHeight="1" spans="2:2">
      <c r="B393" s="138"/>
    </row>
    <row r="394" ht="18" customHeight="1" spans="2:2">
      <c r="B394" s="138"/>
    </row>
    <row r="395" ht="18" customHeight="1" spans="2:2">
      <c r="B395" s="138"/>
    </row>
    <row r="396" ht="18" customHeight="1" spans="2:2">
      <c r="B396" s="138"/>
    </row>
    <row r="397" ht="18" customHeight="1" spans="2:2">
      <c r="B397" s="138"/>
    </row>
    <row r="398" ht="18" customHeight="1" spans="2:2">
      <c r="B398" s="138"/>
    </row>
    <row r="399" ht="18" customHeight="1" spans="2:2">
      <c r="B399" s="138"/>
    </row>
    <row r="400" ht="18" customHeight="1" spans="2:2">
      <c r="B400" s="138"/>
    </row>
    <row r="401" ht="18" customHeight="1" spans="2:2">
      <c r="B401" s="138"/>
    </row>
    <row r="402" ht="18" customHeight="1" spans="2:2">
      <c r="B402" s="138"/>
    </row>
    <row r="403" ht="18" customHeight="1" spans="2:2">
      <c r="B403" s="138"/>
    </row>
    <row r="404" ht="18" customHeight="1" spans="2:2">
      <c r="B404" s="138"/>
    </row>
    <row r="405" ht="18" customHeight="1" spans="2:2">
      <c r="B405" s="138"/>
    </row>
    <row r="406" ht="18" customHeight="1" spans="2:2">
      <c r="B406" s="138"/>
    </row>
    <row r="407" ht="18" customHeight="1" spans="2:2">
      <c r="B407" s="138"/>
    </row>
    <row r="408" ht="18" customHeight="1" spans="2:2">
      <c r="B408" s="138"/>
    </row>
    <row r="409" ht="18" customHeight="1" spans="2:2">
      <c r="B409" s="138"/>
    </row>
    <row r="410" ht="18" customHeight="1" spans="2:2">
      <c r="B410" s="138"/>
    </row>
    <row r="411" ht="18" customHeight="1" spans="2:2">
      <c r="B411" s="138"/>
    </row>
    <row r="412" ht="18" customHeight="1" spans="2:2">
      <c r="B412" s="138"/>
    </row>
    <row r="413" ht="18" customHeight="1" spans="2:2">
      <c r="B413" s="138"/>
    </row>
    <row r="414" ht="18" customHeight="1" spans="2:2">
      <c r="B414" s="138"/>
    </row>
    <row r="415" ht="18" customHeight="1" spans="2:2">
      <c r="B415" s="138"/>
    </row>
    <row r="416" ht="18" customHeight="1" spans="2:2">
      <c r="B416" s="138"/>
    </row>
    <row r="417" ht="18" customHeight="1" spans="2:2">
      <c r="B417" s="138"/>
    </row>
    <row r="418" ht="18" customHeight="1" spans="2:2">
      <c r="B418" s="138"/>
    </row>
    <row r="419" ht="18" customHeight="1" spans="2:2">
      <c r="B419" s="138"/>
    </row>
    <row r="420" ht="18" customHeight="1" spans="2:2">
      <c r="B420" s="138"/>
    </row>
    <row r="421" ht="18" customHeight="1" spans="2:2">
      <c r="B421" s="138"/>
    </row>
    <row r="422" ht="18" customHeight="1" spans="2:2">
      <c r="B422" s="138"/>
    </row>
    <row r="423" ht="18" customHeight="1" spans="2:2">
      <c r="B423" s="138"/>
    </row>
    <row r="424" ht="18" customHeight="1" spans="2:2">
      <c r="B424" s="138"/>
    </row>
    <row r="425" ht="18" customHeight="1" spans="2:2">
      <c r="B425" s="138"/>
    </row>
    <row r="426" ht="18" customHeight="1" spans="2:2">
      <c r="B426" s="138"/>
    </row>
    <row r="427" ht="18" customHeight="1" spans="2:2">
      <c r="B427" s="138"/>
    </row>
    <row r="428" ht="18" customHeight="1" spans="2:2">
      <c r="B428" s="138"/>
    </row>
    <row r="429" ht="18" customHeight="1" spans="2:2">
      <c r="B429" s="138"/>
    </row>
    <row r="430" ht="18" customHeight="1" spans="2:2">
      <c r="B430" s="138"/>
    </row>
    <row r="431" ht="18" customHeight="1" spans="2:2">
      <c r="B431" s="138"/>
    </row>
    <row r="432" ht="18" customHeight="1" spans="2:2">
      <c r="B432" s="138"/>
    </row>
    <row r="433" ht="18" customHeight="1" spans="2:2">
      <c r="B433" s="138"/>
    </row>
    <row r="434" ht="18" customHeight="1" spans="2:2">
      <c r="B434" s="138"/>
    </row>
    <row r="435" ht="18" customHeight="1" spans="2:2">
      <c r="B435" s="138"/>
    </row>
    <row r="436" ht="18" customHeight="1" spans="2:2">
      <c r="B436" s="138"/>
    </row>
    <row r="437" ht="18" customHeight="1" spans="2:2">
      <c r="B437" s="138"/>
    </row>
    <row r="438" ht="18" customHeight="1" spans="2:2">
      <c r="B438" s="138"/>
    </row>
    <row r="439" ht="18" customHeight="1" spans="2:2">
      <c r="B439" s="138"/>
    </row>
    <row r="440" ht="18" customHeight="1" spans="2:2">
      <c r="B440" s="138"/>
    </row>
    <row r="441" ht="18" customHeight="1" spans="2:2">
      <c r="B441" s="138"/>
    </row>
    <row r="442" ht="18" customHeight="1" spans="2:2">
      <c r="B442" s="138"/>
    </row>
    <row r="443" ht="18" customHeight="1" spans="2:2">
      <c r="B443" s="138"/>
    </row>
    <row r="444" ht="18" customHeight="1" spans="2:2">
      <c r="B444" s="138"/>
    </row>
    <row r="445" ht="18" customHeight="1" spans="2:2">
      <c r="B445" s="138"/>
    </row>
    <row r="446" ht="18" customHeight="1" spans="2:2">
      <c r="B446" s="138"/>
    </row>
    <row r="447" ht="18" customHeight="1" spans="2:2">
      <c r="B447" s="138"/>
    </row>
    <row r="448" ht="18" customHeight="1" spans="2:2">
      <c r="B448" s="138"/>
    </row>
    <row r="449" ht="18" customHeight="1" spans="2:2">
      <c r="B449" s="138"/>
    </row>
    <row r="450" ht="18" customHeight="1" spans="2:2">
      <c r="B450" s="138"/>
    </row>
    <row r="451" ht="18" customHeight="1" spans="2:2">
      <c r="B451" s="138"/>
    </row>
    <row r="452" ht="18" customHeight="1" spans="2:2">
      <c r="B452" s="138"/>
    </row>
    <row r="453" ht="18" customHeight="1" spans="2:2">
      <c r="B453" s="138"/>
    </row>
    <row r="454" ht="18" customHeight="1" spans="2:2">
      <c r="B454" s="138"/>
    </row>
    <row r="455" ht="18" customHeight="1" spans="2:2">
      <c r="B455" s="138"/>
    </row>
    <row r="456" ht="18" customHeight="1" spans="2:2">
      <c r="B456" s="138"/>
    </row>
    <row r="457" ht="18" customHeight="1" spans="2:2">
      <c r="B457" s="138"/>
    </row>
    <row r="458" ht="18" customHeight="1" spans="2:2">
      <c r="B458" s="138"/>
    </row>
    <row r="459" ht="18" customHeight="1" spans="2:2">
      <c r="B459" s="138"/>
    </row>
    <row r="460" ht="18" customHeight="1" spans="2:2">
      <c r="B460" s="138"/>
    </row>
    <row r="461" ht="18" customHeight="1" spans="2:2">
      <c r="B461" s="138"/>
    </row>
    <row r="462" ht="18" customHeight="1" spans="2:2">
      <c r="B462" s="138"/>
    </row>
    <row r="463" ht="18" customHeight="1" spans="2:2">
      <c r="B463" s="138"/>
    </row>
    <row r="464" ht="18" customHeight="1" spans="2:2">
      <c r="B464" s="138"/>
    </row>
    <row r="465" ht="18" customHeight="1" spans="2:2">
      <c r="B465" s="138"/>
    </row>
    <row r="466" ht="18" customHeight="1" spans="2:2">
      <c r="B466" s="138"/>
    </row>
    <row r="467" ht="18" customHeight="1" spans="2:2">
      <c r="B467" s="138"/>
    </row>
    <row r="468" ht="18" customHeight="1" spans="2:2">
      <c r="B468" s="138"/>
    </row>
    <row r="469" ht="18" customHeight="1" spans="2:2">
      <c r="B469" s="138"/>
    </row>
    <row r="470" ht="18" customHeight="1" spans="2:2">
      <c r="B470" s="138"/>
    </row>
    <row r="471" ht="18" customHeight="1" spans="2:2">
      <c r="B471" s="138"/>
    </row>
    <row r="472" ht="18" customHeight="1" spans="2:2">
      <c r="B472" s="138"/>
    </row>
    <row r="473" ht="18" customHeight="1" spans="2:2">
      <c r="B473" s="138"/>
    </row>
    <row r="474" ht="18" customHeight="1" spans="2:2">
      <c r="B474" s="138"/>
    </row>
    <row r="475" ht="18" customHeight="1" spans="2:2">
      <c r="B475" s="138"/>
    </row>
    <row r="476" ht="18" customHeight="1" spans="2:2">
      <c r="B476" s="138"/>
    </row>
    <row r="477" ht="18" customHeight="1" spans="2:2">
      <c r="B477" s="138"/>
    </row>
    <row r="478" ht="18" customHeight="1" spans="2:2">
      <c r="B478" s="138"/>
    </row>
    <row r="479" ht="18" customHeight="1" spans="2:2">
      <c r="B479" s="138"/>
    </row>
    <row r="480" ht="18" customHeight="1" spans="2:2">
      <c r="B480" s="138"/>
    </row>
    <row r="481" ht="18" customHeight="1" spans="2:2">
      <c r="B481" s="138"/>
    </row>
    <row r="482" ht="18" customHeight="1" spans="2:2">
      <c r="B482" s="138"/>
    </row>
    <row r="483" ht="18" customHeight="1" spans="2:2">
      <c r="B483" s="138"/>
    </row>
    <row r="484" ht="18" customHeight="1" spans="2:2">
      <c r="B484" s="138"/>
    </row>
    <row r="485" ht="18" customHeight="1" spans="2:2">
      <c r="B485" s="138"/>
    </row>
    <row r="486" ht="18" customHeight="1" spans="2:2">
      <c r="B486" s="138"/>
    </row>
    <row r="487" ht="18" customHeight="1" spans="2:2">
      <c r="B487" s="138"/>
    </row>
    <row r="488" ht="18" customHeight="1" spans="2:2">
      <c r="B488" s="138"/>
    </row>
    <row r="489" ht="18" customHeight="1" spans="2:2">
      <c r="B489" s="138"/>
    </row>
    <row r="490" ht="18" customHeight="1" spans="2:2">
      <c r="B490" s="138"/>
    </row>
    <row r="491" ht="18" customHeight="1" spans="2:2">
      <c r="B491" s="138"/>
    </row>
    <row r="492" ht="18" customHeight="1" spans="2:2">
      <c r="B492" s="138"/>
    </row>
    <row r="493" ht="18" customHeight="1" spans="2:2">
      <c r="B493" s="138"/>
    </row>
    <row r="494" ht="18" customHeight="1" spans="2:2">
      <c r="B494" s="138"/>
    </row>
    <row r="495" ht="18" customHeight="1" spans="2:2">
      <c r="B495" s="138"/>
    </row>
    <row r="496" ht="18" customHeight="1" spans="2:2">
      <c r="B496" s="138"/>
    </row>
    <row r="497" ht="18" customHeight="1" spans="2:2">
      <c r="B497" s="138"/>
    </row>
    <row r="498" ht="18" customHeight="1" spans="2:2">
      <c r="B498" s="138"/>
    </row>
    <row r="499" ht="18" customHeight="1" spans="2:2">
      <c r="B499" s="138"/>
    </row>
    <row r="500" ht="18" customHeight="1" spans="2:2">
      <c r="B500" s="138"/>
    </row>
    <row r="501" ht="18" customHeight="1" spans="2:2">
      <c r="B501" s="138"/>
    </row>
    <row r="502" ht="18" customHeight="1" spans="2:2">
      <c r="B502" s="138"/>
    </row>
    <row r="503" ht="18" customHeight="1" spans="2:2">
      <c r="B503" s="138"/>
    </row>
    <row r="504" ht="18" customHeight="1" spans="2:2">
      <c r="B504" s="138"/>
    </row>
    <row r="505" ht="18" customHeight="1" spans="2:2">
      <c r="B505" s="138"/>
    </row>
    <row r="506" ht="18" customHeight="1" spans="2:2">
      <c r="B506" s="138"/>
    </row>
    <row r="507" ht="18" customHeight="1" spans="2:2">
      <c r="B507" s="138"/>
    </row>
    <row r="508" ht="18" customHeight="1" spans="2:2">
      <c r="B508" s="138"/>
    </row>
    <row r="509" ht="18" customHeight="1" spans="2:2">
      <c r="B509" s="138"/>
    </row>
    <row r="510" ht="18" customHeight="1" spans="2:2">
      <c r="B510" s="138"/>
    </row>
    <row r="511" ht="18" customHeight="1" spans="2:2">
      <c r="B511" s="138"/>
    </row>
    <row r="512" ht="18" customHeight="1" spans="2:2">
      <c r="B512" s="138"/>
    </row>
    <row r="513" ht="18" customHeight="1" spans="2:2">
      <c r="B513" s="138"/>
    </row>
    <row r="514" ht="18" customHeight="1" spans="2:2">
      <c r="B514" s="138"/>
    </row>
    <row r="515" ht="18" customHeight="1" spans="2:2">
      <c r="B515" s="138"/>
    </row>
    <row r="516" ht="18" customHeight="1" spans="2:2">
      <c r="B516" s="138"/>
    </row>
    <row r="517" ht="18" customHeight="1" spans="2:2">
      <c r="B517" s="138"/>
    </row>
    <row r="518" ht="18" customHeight="1" spans="2:2">
      <c r="B518" s="138"/>
    </row>
    <row r="519" ht="18" customHeight="1" spans="2:2">
      <c r="B519" s="138"/>
    </row>
    <row r="520" ht="18" customHeight="1" spans="2:2">
      <c r="B520" s="138"/>
    </row>
    <row r="521" ht="18" customHeight="1" spans="2:2">
      <c r="B521" s="138"/>
    </row>
    <row r="522" ht="18" customHeight="1" spans="2:2">
      <c r="B522" s="138"/>
    </row>
    <row r="523" ht="18" customHeight="1" spans="2:2">
      <c r="B523" s="138"/>
    </row>
    <row r="524" ht="18" customHeight="1" spans="2:2">
      <c r="B524" s="138"/>
    </row>
    <row r="525" ht="18" customHeight="1" spans="2:2">
      <c r="B525" s="138"/>
    </row>
    <row r="526" ht="18" customHeight="1" spans="2:2">
      <c r="B526" s="138"/>
    </row>
    <row r="527" ht="18" customHeight="1" spans="2:2">
      <c r="B527" s="138"/>
    </row>
    <row r="528" ht="18" customHeight="1" spans="2:2">
      <c r="B528" s="138"/>
    </row>
    <row r="529" ht="18" customHeight="1" spans="2:2">
      <c r="B529" s="138"/>
    </row>
    <row r="530" ht="18" customHeight="1" spans="2:2">
      <c r="B530" s="138"/>
    </row>
    <row r="531" ht="18" customHeight="1" spans="2:2">
      <c r="B531" s="138"/>
    </row>
    <row r="532" ht="18" customHeight="1" spans="2:2">
      <c r="B532" s="138"/>
    </row>
    <row r="533" ht="18" customHeight="1" spans="2:2">
      <c r="B533" s="138"/>
    </row>
    <row r="534" ht="18" customHeight="1" spans="2:2">
      <c r="B534" s="138"/>
    </row>
    <row r="535" ht="18" customHeight="1" spans="2:2">
      <c r="B535" s="138"/>
    </row>
    <row r="536" ht="18" customHeight="1" spans="2:2">
      <c r="B536" s="138"/>
    </row>
    <row r="537" ht="18" customHeight="1" spans="2:2">
      <c r="B537" s="138"/>
    </row>
    <row r="538" ht="18" customHeight="1" spans="2:2">
      <c r="B538" s="138"/>
    </row>
    <row r="539" ht="18" customHeight="1" spans="2:2">
      <c r="B539" s="138"/>
    </row>
    <row r="540" ht="18" customHeight="1" spans="2:2">
      <c r="B540" s="138"/>
    </row>
    <row r="541" ht="18" customHeight="1" spans="2:2">
      <c r="B541" s="138"/>
    </row>
    <row r="542" ht="18" customHeight="1" spans="2:2">
      <c r="B542" s="138"/>
    </row>
    <row r="543" ht="18" customHeight="1" spans="2:2">
      <c r="B543" s="138"/>
    </row>
    <row r="544" ht="18" customHeight="1" spans="2:2">
      <c r="B544" s="138"/>
    </row>
    <row r="545" ht="18" customHeight="1" spans="2:2">
      <c r="B545" s="138"/>
    </row>
    <row r="546" ht="18" customHeight="1" spans="2:2">
      <c r="B546" s="138"/>
    </row>
    <row r="547" ht="18" customHeight="1" spans="2:2">
      <c r="B547" s="138"/>
    </row>
    <row r="548" ht="18" customHeight="1" spans="2:2">
      <c r="B548" s="138"/>
    </row>
    <row r="549" ht="18" customHeight="1" spans="2:2">
      <c r="B549" s="138"/>
    </row>
    <row r="550" ht="18" customHeight="1" spans="2:2">
      <c r="B550" s="138"/>
    </row>
    <row r="551" ht="18" customHeight="1" spans="2:2">
      <c r="B551" s="138"/>
    </row>
    <row r="552" ht="18" customHeight="1" spans="2:2">
      <c r="B552" s="138"/>
    </row>
    <row r="553" ht="18" customHeight="1" spans="2:2">
      <c r="B553" s="138"/>
    </row>
    <row r="554" ht="18" customHeight="1" spans="2:2">
      <c r="B554" s="138"/>
    </row>
    <row r="555" ht="18" customHeight="1" spans="2:2">
      <c r="B555" s="138"/>
    </row>
    <row r="556" ht="18" customHeight="1" spans="2:2">
      <c r="B556" s="138"/>
    </row>
    <row r="557" ht="18" customHeight="1" spans="2:2">
      <c r="B557" s="138"/>
    </row>
    <row r="558" ht="18" customHeight="1" spans="2:2">
      <c r="B558" s="138"/>
    </row>
    <row r="559" ht="18" customHeight="1" spans="2:2">
      <c r="B559" s="138"/>
    </row>
    <row r="560" ht="18" customHeight="1" spans="2:2">
      <c r="B560" s="138"/>
    </row>
    <row r="561" ht="18" customHeight="1" spans="2:2">
      <c r="B561" s="138"/>
    </row>
    <row r="562" ht="18" customHeight="1" spans="2:2">
      <c r="B562" s="138"/>
    </row>
    <row r="563" ht="18" customHeight="1" spans="2:2">
      <c r="B563" s="138"/>
    </row>
    <row r="564" ht="18" customHeight="1" spans="2:2">
      <c r="B564" s="138"/>
    </row>
    <row r="565" ht="18" customHeight="1" spans="2:2">
      <c r="B565" s="138"/>
    </row>
    <row r="566" ht="18" customHeight="1" spans="2:2">
      <c r="B566" s="138"/>
    </row>
    <row r="567" ht="18" customHeight="1" spans="2:2">
      <c r="B567" s="138"/>
    </row>
    <row r="568" ht="18" customHeight="1" spans="2:2">
      <c r="B568" s="138"/>
    </row>
    <row r="569" ht="18" customHeight="1" spans="2:2">
      <c r="B569" s="138"/>
    </row>
    <row r="570" ht="18" customHeight="1" spans="2:2">
      <c r="B570" s="138"/>
    </row>
    <row r="571" ht="18" customHeight="1" spans="2:2">
      <c r="B571" s="138"/>
    </row>
    <row r="572" ht="18" customHeight="1" spans="2:2">
      <c r="B572" s="138"/>
    </row>
    <row r="573" ht="18" customHeight="1" spans="2:2">
      <c r="B573" s="138"/>
    </row>
    <row r="574" ht="18" customHeight="1" spans="2:2">
      <c r="B574" s="138"/>
    </row>
    <row r="575" ht="18" customHeight="1" spans="2:2">
      <c r="B575" s="138"/>
    </row>
    <row r="576" ht="18" customHeight="1" spans="2:2">
      <c r="B576" s="138"/>
    </row>
    <row r="577" ht="18" customHeight="1" spans="2:2">
      <c r="B577" s="138"/>
    </row>
    <row r="578" ht="18" customHeight="1" spans="2:2">
      <c r="B578" s="138"/>
    </row>
    <row r="579" ht="18" customHeight="1" spans="2:2">
      <c r="B579" s="138"/>
    </row>
    <row r="580" ht="18" customHeight="1" spans="2:2">
      <c r="B580" s="138"/>
    </row>
    <row r="581" ht="18" customHeight="1" spans="2:2">
      <c r="B581" s="138"/>
    </row>
    <row r="582" ht="18" customHeight="1" spans="2:2">
      <c r="B582" s="138"/>
    </row>
    <row r="583" ht="18" customHeight="1" spans="2:2">
      <c r="B583" s="138"/>
    </row>
    <row r="584" ht="18" customHeight="1" spans="2:2">
      <c r="B584" s="138"/>
    </row>
    <row r="585" ht="18" customHeight="1" spans="2:2">
      <c r="B585" s="138"/>
    </row>
    <row r="586" ht="18" customHeight="1" spans="2:2">
      <c r="B586" s="138"/>
    </row>
    <row r="587" ht="18" customHeight="1" spans="2:2">
      <c r="B587" s="138"/>
    </row>
    <row r="588" ht="18" customHeight="1" spans="2:2">
      <c r="B588" s="138"/>
    </row>
    <row r="589" ht="18" customHeight="1" spans="2:2">
      <c r="B589" s="138"/>
    </row>
    <row r="590" ht="18" customHeight="1" spans="2:2">
      <c r="B590" s="138"/>
    </row>
    <row r="591" ht="18" customHeight="1" spans="2:2">
      <c r="B591" s="138"/>
    </row>
    <row r="592" ht="18" customHeight="1" spans="2:2">
      <c r="B592" s="138"/>
    </row>
    <row r="593" ht="18" customHeight="1" spans="2:2">
      <c r="B593" s="138"/>
    </row>
    <row r="594" ht="18" customHeight="1" spans="2:2">
      <c r="B594" s="138"/>
    </row>
    <row r="595" ht="18" customHeight="1" spans="2:2">
      <c r="B595" s="138"/>
    </row>
    <row r="596" ht="18" customHeight="1" spans="2:2">
      <c r="B596" s="138"/>
    </row>
    <row r="597" ht="18" customHeight="1" spans="2:2">
      <c r="B597" s="138"/>
    </row>
    <row r="598" ht="18" customHeight="1" spans="2:2">
      <c r="B598" s="138"/>
    </row>
    <row r="599" ht="18" customHeight="1" spans="2:2">
      <c r="B599" s="138"/>
    </row>
    <row r="600" ht="18" customHeight="1" spans="2:2">
      <c r="B600" s="138"/>
    </row>
    <row r="601" ht="18" customHeight="1" spans="2:2">
      <c r="B601" s="138"/>
    </row>
    <row r="602" ht="18" customHeight="1" spans="2:2">
      <c r="B602" s="138"/>
    </row>
    <row r="603" ht="18" customHeight="1" spans="2:2">
      <c r="B603" s="138"/>
    </row>
    <row r="604" ht="18" customHeight="1" spans="2:2">
      <c r="B604" s="138"/>
    </row>
    <row r="605" ht="18" customHeight="1" spans="2:2">
      <c r="B605" s="138"/>
    </row>
    <row r="606" ht="18" customHeight="1" spans="2:2">
      <c r="B606" s="138"/>
    </row>
    <row r="607" ht="18" customHeight="1" spans="2:2">
      <c r="B607" s="138"/>
    </row>
    <row r="608" ht="18" customHeight="1" spans="2:2">
      <c r="B608" s="138"/>
    </row>
    <row r="609" ht="18" customHeight="1" spans="2:2">
      <c r="B609" s="138"/>
    </row>
    <row r="610" ht="18" customHeight="1" spans="2:2">
      <c r="B610" s="138"/>
    </row>
    <row r="611" ht="18" customHeight="1" spans="2:2">
      <c r="B611" s="138"/>
    </row>
    <row r="612" ht="18" customHeight="1" spans="2:2">
      <c r="B612" s="138"/>
    </row>
    <row r="613" ht="18" customHeight="1" spans="2:2">
      <c r="B613" s="138"/>
    </row>
    <row r="614" ht="18" customHeight="1" spans="2:2">
      <c r="B614" s="138"/>
    </row>
    <row r="615" ht="18" customHeight="1" spans="2:2">
      <c r="B615" s="138"/>
    </row>
    <row r="616" ht="18" customHeight="1" spans="2:2">
      <c r="B616" s="138"/>
    </row>
    <row r="617" ht="18" customHeight="1" spans="2:2">
      <c r="B617" s="138"/>
    </row>
    <row r="618" ht="18" customHeight="1" spans="2:2">
      <c r="B618" s="138"/>
    </row>
    <row r="619" ht="18" customHeight="1" spans="2:2">
      <c r="B619" s="138"/>
    </row>
    <row r="620" ht="18" customHeight="1" spans="2:2">
      <c r="B620" s="138"/>
    </row>
    <row r="621" ht="18" customHeight="1" spans="2:2">
      <c r="B621" s="138"/>
    </row>
    <row r="622" ht="18" customHeight="1" spans="2:2">
      <c r="B622" s="138"/>
    </row>
    <row r="623" ht="18" customHeight="1" spans="2:2">
      <c r="B623" s="138"/>
    </row>
    <row r="624" ht="18" customHeight="1" spans="2:2">
      <c r="B624" s="138"/>
    </row>
    <row r="625" ht="18" customHeight="1" spans="2:2">
      <c r="B625" s="138"/>
    </row>
    <row r="626" ht="18" customHeight="1" spans="2:2">
      <c r="B626" s="138"/>
    </row>
    <row r="627" ht="18" customHeight="1" spans="2:2">
      <c r="B627" s="138"/>
    </row>
    <row r="628" ht="18" customHeight="1" spans="2:2">
      <c r="B628" s="138"/>
    </row>
    <row r="629" ht="18" customHeight="1" spans="2:2">
      <c r="B629" s="138"/>
    </row>
    <row r="630" ht="18" customHeight="1" spans="2:2">
      <c r="B630" s="138"/>
    </row>
    <row r="631" ht="18" customHeight="1" spans="2:2">
      <c r="B631" s="138"/>
    </row>
    <row r="632" ht="18" customHeight="1" spans="2:2">
      <c r="B632" s="138"/>
    </row>
    <row r="633" ht="18" customHeight="1" spans="2:2">
      <c r="B633" s="138"/>
    </row>
    <row r="634" ht="18" customHeight="1" spans="2:2">
      <c r="B634" s="138"/>
    </row>
    <row r="635" ht="18" customHeight="1" spans="2:2">
      <c r="B635" s="138"/>
    </row>
    <row r="636" ht="18" customHeight="1" spans="2:2">
      <c r="B636" s="138"/>
    </row>
    <row r="637" ht="18" customHeight="1" spans="2:2">
      <c r="B637" s="138"/>
    </row>
    <row r="638" ht="18" customHeight="1" spans="2:2">
      <c r="B638" s="138"/>
    </row>
    <row r="639" ht="18" customHeight="1" spans="2:2">
      <c r="B639" s="138"/>
    </row>
    <row r="640" ht="18" customHeight="1" spans="2:2">
      <c r="B640" s="138"/>
    </row>
    <row r="641" ht="18" customHeight="1" spans="2:2">
      <c r="B641" s="138"/>
    </row>
    <row r="642" ht="18" customHeight="1" spans="2:2">
      <c r="B642" s="138"/>
    </row>
    <row r="643" ht="18" customHeight="1" spans="2:2">
      <c r="B643" s="138"/>
    </row>
    <row r="644" ht="18" customHeight="1" spans="2:2">
      <c r="B644" s="138"/>
    </row>
    <row r="645" ht="18" customHeight="1" spans="2:2">
      <c r="B645" s="138"/>
    </row>
    <row r="646" ht="18" customHeight="1" spans="2:2">
      <c r="B646" s="138"/>
    </row>
    <row r="647" ht="18" customHeight="1" spans="2:2">
      <c r="B647" s="138"/>
    </row>
    <row r="648" ht="18" customHeight="1" spans="2:2">
      <c r="B648" s="138"/>
    </row>
    <row r="649" ht="18" customHeight="1" spans="2:2">
      <c r="B649" s="138"/>
    </row>
    <row r="650" ht="18" customHeight="1" spans="2:2">
      <c r="B650" s="138"/>
    </row>
    <row r="651" ht="18" customHeight="1" spans="2:2">
      <c r="B651" s="138"/>
    </row>
    <row r="652" ht="18" customHeight="1" spans="2:2">
      <c r="B652" s="138"/>
    </row>
    <row r="653" ht="18" customHeight="1" spans="2:2">
      <c r="B653" s="138"/>
    </row>
    <row r="654" ht="18" customHeight="1" spans="2:2">
      <c r="B654" s="138"/>
    </row>
    <row r="655" ht="18" customHeight="1" spans="2:2">
      <c r="B655" s="138"/>
    </row>
    <row r="656" ht="18" customHeight="1" spans="2:2">
      <c r="B656" s="138"/>
    </row>
    <row r="657" ht="18" customHeight="1" spans="2:2">
      <c r="B657" s="138"/>
    </row>
    <row r="658" ht="18" customHeight="1" spans="2:2">
      <c r="B658" s="138"/>
    </row>
    <row r="659" ht="18" customHeight="1" spans="2:2">
      <c r="B659" s="138"/>
    </row>
    <row r="660" ht="18" customHeight="1" spans="2:2">
      <c r="B660" s="138"/>
    </row>
    <row r="661" ht="18" customHeight="1" spans="2:2">
      <c r="B661" s="138"/>
    </row>
    <row r="662" ht="18" customHeight="1" spans="2:2">
      <c r="B662" s="138"/>
    </row>
    <row r="663" ht="18" customHeight="1" spans="2:2">
      <c r="B663" s="138"/>
    </row>
    <row r="664" ht="18" customHeight="1" spans="2:2">
      <c r="B664" s="138"/>
    </row>
    <row r="665" ht="18" customHeight="1" spans="2:2">
      <c r="B665" s="138"/>
    </row>
    <row r="666" ht="18" customHeight="1" spans="2:2">
      <c r="B666" s="138"/>
    </row>
    <row r="667" ht="18" customHeight="1" spans="2:2">
      <c r="B667" s="138"/>
    </row>
    <row r="668" ht="18" customHeight="1" spans="2:2">
      <c r="B668" s="138"/>
    </row>
    <row r="669" ht="18" customHeight="1" spans="2:2">
      <c r="B669" s="138"/>
    </row>
    <row r="670" ht="18" customHeight="1" spans="2:2">
      <c r="B670" s="138"/>
    </row>
    <row r="671" ht="18" customHeight="1" spans="2:2">
      <c r="B671" s="138"/>
    </row>
    <row r="672" ht="18" customHeight="1" spans="2:2">
      <c r="B672" s="138"/>
    </row>
    <row r="673" ht="18" customHeight="1" spans="2:2">
      <c r="B673" s="138"/>
    </row>
    <row r="674" ht="18" customHeight="1" spans="2:2">
      <c r="B674" s="138"/>
    </row>
    <row r="675" ht="18" customHeight="1" spans="2:2">
      <c r="B675" s="138"/>
    </row>
    <row r="676" ht="18" customHeight="1" spans="2:2">
      <c r="B676" s="138"/>
    </row>
    <row r="677" ht="18" customHeight="1" spans="2:2">
      <c r="B677" s="138"/>
    </row>
    <row r="678" ht="18" customHeight="1" spans="2:2">
      <c r="B678" s="138"/>
    </row>
    <row r="679" ht="18" customHeight="1" spans="2:2">
      <c r="B679" s="138"/>
    </row>
    <row r="680" ht="18" customHeight="1" spans="2:2">
      <c r="B680" s="138"/>
    </row>
    <row r="681" ht="18" customHeight="1" spans="2:2">
      <c r="B681" s="138"/>
    </row>
    <row r="682" ht="18" customHeight="1" spans="2:2">
      <c r="B682" s="138"/>
    </row>
    <row r="683" ht="18" customHeight="1" spans="2:2">
      <c r="B683" s="138"/>
    </row>
    <row r="684" ht="18" customHeight="1" spans="2:2">
      <c r="B684" s="138"/>
    </row>
    <row r="685" ht="18" customHeight="1" spans="2:2">
      <c r="B685" s="138"/>
    </row>
    <row r="686" ht="18" customHeight="1" spans="2:2">
      <c r="B686" s="138"/>
    </row>
    <row r="687" ht="18" customHeight="1" spans="2:2">
      <c r="B687" s="138"/>
    </row>
    <row r="688" ht="18" customHeight="1" spans="2:2">
      <c r="B688" s="138"/>
    </row>
    <row r="689" ht="18" customHeight="1" spans="2:2">
      <c r="B689" s="138"/>
    </row>
    <row r="690" ht="18" customHeight="1" spans="2:2">
      <c r="B690" s="138"/>
    </row>
    <row r="691" ht="18" customHeight="1" spans="2:2">
      <c r="B691" s="138"/>
    </row>
    <row r="692" ht="18" customHeight="1" spans="2:2">
      <c r="B692" s="138"/>
    </row>
    <row r="693" ht="18" customHeight="1" spans="2:2">
      <c r="B693" s="138"/>
    </row>
    <row r="694" ht="18" customHeight="1" spans="2:2">
      <c r="B694" s="138"/>
    </row>
    <row r="695" ht="18" customHeight="1" spans="2:2">
      <c r="B695" s="138"/>
    </row>
    <row r="696" ht="18" customHeight="1" spans="2:2">
      <c r="B696" s="138"/>
    </row>
    <row r="697" ht="18" customHeight="1" spans="2:2">
      <c r="B697" s="138"/>
    </row>
    <row r="698" ht="18" customHeight="1" spans="2:2">
      <c r="B698" s="138"/>
    </row>
    <row r="699" ht="18" customHeight="1" spans="2:2">
      <c r="B699" s="138"/>
    </row>
    <row r="700" ht="18" customHeight="1" spans="2:2">
      <c r="B700" s="138"/>
    </row>
    <row r="701" ht="18" customHeight="1" spans="2:2">
      <c r="B701" s="138"/>
    </row>
    <row r="702" ht="18" customHeight="1" spans="2:2">
      <c r="B702" s="138"/>
    </row>
    <row r="703" ht="18" customHeight="1" spans="2:2">
      <c r="B703" s="138"/>
    </row>
    <row r="704" ht="18" customHeight="1" spans="2:2">
      <c r="B704" s="138"/>
    </row>
    <row r="705" ht="18" customHeight="1" spans="2:2">
      <c r="B705" s="138"/>
    </row>
    <row r="706" ht="18" customHeight="1" spans="2:2">
      <c r="B706" s="138"/>
    </row>
    <row r="707" ht="18" customHeight="1" spans="2:2">
      <c r="B707" s="138"/>
    </row>
    <row r="708" ht="18" customHeight="1" spans="2:2">
      <c r="B708" s="138"/>
    </row>
    <row r="709" ht="18" customHeight="1" spans="2:2">
      <c r="B709" s="138"/>
    </row>
    <row r="710" ht="18" customHeight="1" spans="2:2">
      <c r="B710" s="138"/>
    </row>
    <row r="711" ht="18" customHeight="1" spans="2:2">
      <c r="B711" s="138"/>
    </row>
    <row r="712" ht="18" customHeight="1" spans="2:2">
      <c r="B712" s="138"/>
    </row>
    <row r="713" ht="18" customHeight="1" spans="2:2">
      <c r="B713" s="138"/>
    </row>
    <row r="714" ht="18" customHeight="1" spans="2:2">
      <c r="B714" s="138"/>
    </row>
    <row r="715" ht="18" customHeight="1" spans="2:2">
      <c r="B715" s="138"/>
    </row>
    <row r="716" ht="18" customHeight="1" spans="2:2">
      <c r="B716" s="138"/>
    </row>
    <row r="717" ht="18" customHeight="1" spans="2:2">
      <c r="B717" s="138"/>
    </row>
    <row r="718" ht="18" customHeight="1" spans="2:2">
      <c r="B718" s="138"/>
    </row>
    <row r="719" ht="18" customHeight="1" spans="2:2">
      <c r="B719" s="138"/>
    </row>
    <row r="720" ht="18" customHeight="1" spans="2:2">
      <c r="B720" s="138"/>
    </row>
    <row r="721" ht="18" customHeight="1" spans="2:2">
      <c r="B721" s="138"/>
    </row>
    <row r="722" ht="18" customHeight="1" spans="2:2">
      <c r="B722" s="138"/>
    </row>
    <row r="723" ht="18" customHeight="1" spans="2:2">
      <c r="B723" s="138"/>
    </row>
    <row r="724" ht="18" customHeight="1" spans="2:2">
      <c r="B724" s="138"/>
    </row>
    <row r="725" ht="18" customHeight="1" spans="2:2">
      <c r="B725" s="138"/>
    </row>
    <row r="726" ht="18" customHeight="1" spans="2:2">
      <c r="B726" s="138"/>
    </row>
    <row r="727" ht="18" customHeight="1" spans="2:2">
      <c r="B727" s="138"/>
    </row>
    <row r="728" ht="18" customHeight="1" spans="2:2">
      <c r="B728" s="138"/>
    </row>
    <row r="729" ht="18" customHeight="1" spans="2:2">
      <c r="B729" s="138"/>
    </row>
    <row r="730" ht="18" customHeight="1" spans="2:2">
      <c r="B730" s="138"/>
    </row>
    <row r="731" ht="18" customHeight="1" spans="2:2">
      <c r="B731" s="138"/>
    </row>
    <row r="732" ht="18" customHeight="1" spans="2:2">
      <c r="B732" s="138"/>
    </row>
    <row r="733" ht="18" customHeight="1" spans="2:2">
      <c r="B733" s="138"/>
    </row>
    <row r="734" ht="18" customHeight="1" spans="2:2">
      <c r="B734" s="138"/>
    </row>
    <row r="735" ht="18" customHeight="1" spans="2:2">
      <c r="B735" s="138"/>
    </row>
    <row r="736" ht="18" customHeight="1" spans="2:2">
      <c r="B736" s="138"/>
    </row>
    <row r="737" ht="18" customHeight="1" spans="2:2">
      <c r="B737" s="138"/>
    </row>
    <row r="738" ht="18" customHeight="1" spans="2:2">
      <c r="B738" s="138"/>
    </row>
    <row r="739" ht="18" customHeight="1" spans="2:2">
      <c r="B739" s="138"/>
    </row>
    <row r="740" ht="18" customHeight="1" spans="2:2">
      <c r="B740" s="138"/>
    </row>
    <row r="741" ht="18" customHeight="1" spans="2:2">
      <c r="B741" s="138"/>
    </row>
    <row r="742" ht="18" customHeight="1" spans="2:2">
      <c r="B742" s="138"/>
    </row>
    <row r="743" ht="18" customHeight="1" spans="2:2">
      <c r="B743" s="138"/>
    </row>
    <row r="744" ht="18" customHeight="1" spans="2:2">
      <c r="B744" s="138"/>
    </row>
    <row r="745" ht="18" customHeight="1" spans="2:2">
      <c r="B745" s="138"/>
    </row>
    <row r="746" ht="18" customHeight="1" spans="2:2">
      <c r="B746" s="138"/>
    </row>
    <row r="747" ht="18" customHeight="1" spans="2:2">
      <c r="B747" s="138"/>
    </row>
    <row r="748" ht="18" customHeight="1" spans="2:2">
      <c r="B748" s="138"/>
    </row>
    <row r="749" ht="18" customHeight="1" spans="2:2">
      <c r="B749" s="138"/>
    </row>
    <row r="750" ht="18" customHeight="1" spans="2:2">
      <c r="B750" s="138"/>
    </row>
    <row r="751" ht="18" customHeight="1" spans="2:2">
      <c r="B751" s="138"/>
    </row>
    <row r="752" ht="18" customHeight="1" spans="2:2">
      <c r="B752" s="138"/>
    </row>
    <row r="753" ht="18" customHeight="1" spans="2:2">
      <c r="B753" s="138"/>
    </row>
    <row r="754" ht="18" customHeight="1" spans="2:2">
      <c r="B754" s="138"/>
    </row>
    <row r="755" ht="18" customHeight="1" spans="2:2">
      <c r="B755" s="138"/>
    </row>
    <row r="756" ht="18" customHeight="1" spans="2:2">
      <c r="B756" s="138"/>
    </row>
    <row r="757" ht="18" customHeight="1" spans="2:2">
      <c r="B757" s="138"/>
    </row>
    <row r="758" ht="18" customHeight="1" spans="2:2">
      <c r="B758" s="138"/>
    </row>
    <row r="759" ht="18" customHeight="1" spans="2:2">
      <c r="B759" s="138"/>
    </row>
    <row r="760" ht="18" customHeight="1" spans="2:2">
      <c r="B760" s="138"/>
    </row>
    <row r="761" ht="18" customHeight="1" spans="2:2">
      <c r="B761" s="138"/>
    </row>
    <row r="762" ht="18" customHeight="1" spans="2:2">
      <c r="B762" s="138"/>
    </row>
    <row r="763" ht="18" customHeight="1" spans="2:2">
      <c r="B763" s="138"/>
    </row>
    <row r="764" ht="18" customHeight="1" spans="2:2">
      <c r="B764" s="138"/>
    </row>
    <row r="765" ht="18" customHeight="1" spans="2:2">
      <c r="B765" s="138"/>
    </row>
    <row r="766" ht="18" customHeight="1" spans="2:2">
      <c r="B766" s="138"/>
    </row>
    <row r="767" ht="18" customHeight="1" spans="2:2">
      <c r="B767" s="138"/>
    </row>
    <row r="768" ht="18" customHeight="1" spans="2:2">
      <c r="B768" s="138"/>
    </row>
    <row r="769" ht="18" customHeight="1" spans="2:2">
      <c r="B769" s="138"/>
    </row>
    <row r="770" ht="18" customHeight="1" spans="2:2">
      <c r="B770" s="138"/>
    </row>
    <row r="771" ht="18" customHeight="1" spans="2:2">
      <c r="B771" s="138"/>
    </row>
    <row r="772" ht="18" customHeight="1" spans="2:2">
      <c r="B772" s="138"/>
    </row>
    <row r="773" ht="18" customHeight="1" spans="2:2">
      <c r="B773" s="138"/>
    </row>
    <row r="774" ht="18" customHeight="1" spans="2:2">
      <c r="B774" s="138"/>
    </row>
    <row r="775" ht="18" customHeight="1" spans="2:2">
      <c r="B775" s="138"/>
    </row>
    <row r="776" ht="18" customHeight="1" spans="2:2">
      <c r="B776" s="138"/>
    </row>
    <row r="777" ht="18" customHeight="1" spans="2:2">
      <c r="B777" s="138"/>
    </row>
    <row r="778" ht="18" customHeight="1" spans="2:2">
      <c r="B778" s="138"/>
    </row>
    <row r="779" ht="18" customHeight="1" spans="2:2">
      <c r="B779" s="138"/>
    </row>
    <row r="780" ht="18" customHeight="1" spans="2:2">
      <c r="B780" s="138"/>
    </row>
    <row r="781" ht="18" customHeight="1" spans="2:2">
      <c r="B781" s="138"/>
    </row>
    <row r="782" ht="18" customHeight="1" spans="2:2">
      <c r="B782" s="138"/>
    </row>
    <row r="783" ht="18" customHeight="1" spans="2:2">
      <c r="B783" s="138"/>
    </row>
    <row r="784" ht="18" customHeight="1" spans="2:2">
      <c r="B784" s="138"/>
    </row>
    <row r="785" ht="18" customHeight="1" spans="2:2">
      <c r="B785" s="138"/>
    </row>
    <row r="786" ht="18" customHeight="1" spans="2:2">
      <c r="B786" s="138"/>
    </row>
    <row r="787" ht="18" customHeight="1" spans="2:2">
      <c r="B787" s="138"/>
    </row>
    <row r="788" ht="18" customHeight="1" spans="2:2">
      <c r="B788" s="138"/>
    </row>
    <row r="789" ht="18" customHeight="1" spans="2:2">
      <c r="B789" s="138"/>
    </row>
    <row r="790" ht="18" customHeight="1" spans="2:2">
      <c r="B790" s="138"/>
    </row>
    <row r="791" ht="18" customHeight="1" spans="2:2">
      <c r="B791" s="138"/>
    </row>
    <row r="792" ht="18" customHeight="1" spans="2:2">
      <c r="B792" s="138"/>
    </row>
    <row r="793" ht="18" customHeight="1" spans="2:2">
      <c r="B793" s="138"/>
    </row>
    <row r="794" ht="18" customHeight="1" spans="2:2">
      <c r="B794" s="138"/>
    </row>
    <row r="795" ht="18" customHeight="1" spans="2:2">
      <c r="B795" s="138"/>
    </row>
    <row r="796" ht="18" customHeight="1" spans="2:2">
      <c r="B796" s="138"/>
    </row>
    <row r="797" ht="18" customHeight="1" spans="2:2">
      <c r="B797" s="138"/>
    </row>
    <row r="798" ht="18" customHeight="1" spans="2:2">
      <c r="B798" s="138"/>
    </row>
    <row r="799" ht="18" customHeight="1" spans="2:2">
      <c r="B799" s="138"/>
    </row>
    <row r="800" ht="18" customHeight="1" spans="2:2">
      <c r="B800" s="138"/>
    </row>
    <row r="801" ht="18" customHeight="1" spans="2:2">
      <c r="B801" s="138"/>
    </row>
    <row r="802" ht="18" customHeight="1" spans="2:2">
      <c r="B802" s="138"/>
    </row>
    <row r="803" ht="18" customHeight="1" spans="2:2">
      <c r="B803" s="138"/>
    </row>
    <row r="804" ht="18" customHeight="1" spans="2:2">
      <c r="B804" s="138"/>
    </row>
    <row r="805" ht="18" customHeight="1" spans="2:2">
      <c r="B805" s="138"/>
    </row>
    <row r="806" ht="18" customHeight="1" spans="2:2">
      <c r="B806" s="138"/>
    </row>
    <row r="807" ht="18" customHeight="1" spans="2:2">
      <c r="B807" s="138"/>
    </row>
    <row r="808" ht="18" customHeight="1" spans="2:2">
      <c r="B808" s="138"/>
    </row>
    <row r="809" ht="18" customHeight="1" spans="2:2">
      <c r="B809" s="138"/>
    </row>
    <row r="810" ht="18" customHeight="1" spans="2:2">
      <c r="B810" s="138"/>
    </row>
    <row r="811" ht="18" customHeight="1" spans="2:2">
      <c r="B811" s="138"/>
    </row>
    <row r="812" ht="18" customHeight="1" spans="2:2">
      <c r="B812" s="138"/>
    </row>
    <row r="813" ht="18" customHeight="1" spans="2:2">
      <c r="B813" s="138"/>
    </row>
    <row r="814" ht="18" customHeight="1" spans="2:2">
      <c r="B814" s="138"/>
    </row>
    <row r="815" ht="18" customHeight="1" spans="2:2">
      <c r="B815" s="138"/>
    </row>
    <row r="816" ht="18" customHeight="1" spans="2:2">
      <c r="B816" s="138"/>
    </row>
    <row r="817" ht="18" customHeight="1" spans="2:2">
      <c r="B817" s="138"/>
    </row>
    <row r="818" ht="18" customHeight="1" spans="2:2">
      <c r="B818" s="138"/>
    </row>
    <row r="819" ht="18" customHeight="1" spans="2:2">
      <c r="B819" s="138"/>
    </row>
    <row r="820" ht="18" customHeight="1" spans="2:2">
      <c r="B820" s="138"/>
    </row>
    <row r="821" ht="18" customHeight="1" spans="2:2">
      <c r="B821" s="138"/>
    </row>
    <row r="822" ht="18" customHeight="1" spans="2:2">
      <c r="B822" s="138"/>
    </row>
    <row r="823" ht="18" customHeight="1" spans="2:2">
      <c r="B823" s="138"/>
    </row>
    <row r="824" ht="18" customHeight="1" spans="2:2">
      <c r="B824" s="138"/>
    </row>
    <row r="825" ht="18" customHeight="1" spans="2:2">
      <c r="B825" s="138"/>
    </row>
    <row r="826" ht="18" customHeight="1" spans="2:2">
      <c r="B826" s="138"/>
    </row>
    <row r="827" ht="18" customHeight="1" spans="2:2">
      <c r="B827" s="138"/>
    </row>
    <row r="828" ht="18" customHeight="1" spans="2:2">
      <c r="B828" s="138"/>
    </row>
    <row r="829" ht="18" customHeight="1" spans="2:2">
      <c r="B829" s="138"/>
    </row>
    <row r="830" ht="18" customHeight="1" spans="2:2">
      <c r="B830" s="138"/>
    </row>
    <row r="831" ht="18" customHeight="1" spans="2:2">
      <c r="B831" s="138"/>
    </row>
    <row r="832" ht="18" customHeight="1" spans="2:2">
      <c r="B832" s="138"/>
    </row>
    <row r="833" ht="18" customHeight="1" spans="2:2">
      <c r="B833" s="138"/>
    </row>
    <row r="834" ht="18" customHeight="1" spans="2:2">
      <c r="B834" s="138"/>
    </row>
    <row r="835" ht="18" customHeight="1" spans="2:2">
      <c r="B835" s="138"/>
    </row>
    <row r="836" ht="18" customHeight="1" spans="2:2">
      <c r="B836" s="138"/>
    </row>
    <row r="837" ht="18" customHeight="1" spans="2:2">
      <c r="B837" s="138"/>
    </row>
    <row r="838" ht="18" customHeight="1" spans="2:2">
      <c r="B838" s="138"/>
    </row>
    <row r="839" ht="18" customHeight="1" spans="2:2">
      <c r="B839" s="138"/>
    </row>
    <row r="840" ht="18" customHeight="1" spans="2:2">
      <c r="B840" s="138"/>
    </row>
    <row r="841" ht="18" customHeight="1" spans="2:2">
      <c r="B841" s="138"/>
    </row>
    <row r="842" ht="18" customHeight="1" spans="2:2">
      <c r="B842" s="138"/>
    </row>
    <row r="843" ht="18" customHeight="1" spans="2:2">
      <c r="B843" s="138"/>
    </row>
    <row r="844" ht="18" customHeight="1" spans="2:2">
      <c r="B844" s="138"/>
    </row>
    <row r="845" ht="18" customHeight="1" spans="2:2">
      <c r="B845" s="138"/>
    </row>
    <row r="846" ht="18" customHeight="1" spans="2:2">
      <c r="B846" s="138"/>
    </row>
    <row r="847" ht="18" customHeight="1" spans="2:2">
      <c r="B847" s="138"/>
    </row>
    <row r="848" ht="18" customHeight="1" spans="2:2">
      <c r="B848" s="138"/>
    </row>
    <row r="849" ht="18" customHeight="1" spans="2:2">
      <c r="B849" s="138"/>
    </row>
    <row r="850" ht="18" customHeight="1" spans="2:2">
      <c r="B850" s="138"/>
    </row>
    <row r="851" ht="18" customHeight="1" spans="2:2">
      <c r="B851" s="138"/>
    </row>
    <row r="852" ht="18" customHeight="1" spans="2:2">
      <c r="B852" s="138"/>
    </row>
    <row r="853" ht="18" customHeight="1" spans="2:2">
      <c r="B853" s="138"/>
    </row>
    <row r="854" ht="18" customHeight="1" spans="2:2">
      <c r="B854" s="138"/>
    </row>
    <row r="855" ht="18" customHeight="1" spans="2:2">
      <c r="B855" s="138"/>
    </row>
    <row r="856" ht="18" customHeight="1" spans="2:2">
      <c r="B856" s="138"/>
    </row>
    <row r="857" ht="18" customHeight="1" spans="2:2">
      <c r="B857" s="138"/>
    </row>
    <row r="858" ht="18" customHeight="1" spans="2:2">
      <c r="B858" s="138"/>
    </row>
    <row r="859" ht="18" customHeight="1" spans="2:2">
      <c r="B859" s="138"/>
    </row>
    <row r="860" ht="18" customHeight="1" spans="2:2">
      <c r="B860" s="138"/>
    </row>
    <row r="861" ht="18" customHeight="1" spans="2:2">
      <c r="B861" s="138"/>
    </row>
    <row r="862" ht="18" customHeight="1" spans="2:2">
      <c r="B862" s="138"/>
    </row>
    <row r="863" ht="18" customHeight="1" spans="2:2">
      <c r="B863" s="138"/>
    </row>
    <row r="864" ht="18" customHeight="1" spans="2:2">
      <c r="B864" s="138"/>
    </row>
    <row r="865" ht="18" customHeight="1" spans="2:2">
      <c r="B865" s="138"/>
    </row>
    <row r="866" ht="18" customHeight="1" spans="2:2">
      <c r="B866" s="138"/>
    </row>
    <row r="867" ht="18" customHeight="1" spans="2:2">
      <c r="B867" s="138"/>
    </row>
    <row r="868" ht="18" customHeight="1" spans="2:2">
      <c r="B868" s="138"/>
    </row>
    <row r="869" ht="18" customHeight="1" spans="2:2">
      <c r="B869" s="138"/>
    </row>
    <row r="870" ht="18" customHeight="1" spans="2:2">
      <c r="B870" s="138"/>
    </row>
    <row r="871" ht="18" customHeight="1" spans="2:2">
      <c r="B871" s="138"/>
    </row>
    <row r="872" ht="18" customHeight="1" spans="2:2">
      <c r="B872" s="138"/>
    </row>
    <row r="873" ht="18" customHeight="1" spans="2:2">
      <c r="B873" s="138"/>
    </row>
    <row r="874" ht="18" customHeight="1" spans="2:2">
      <c r="B874" s="138"/>
    </row>
    <row r="875" ht="18" customHeight="1" spans="2:2">
      <c r="B875" s="138"/>
    </row>
    <row r="876" ht="18" customHeight="1" spans="2:2">
      <c r="B876" s="138"/>
    </row>
    <row r="877" ht="18" customHeight="1" spans="2:2">
      <c r="B877" s="138"/>
    </row>
    <row r="878" ht="18" customHeight="1" spans="2:2">
      <c r="B878" s="138"/>
    </row>
    <row r="879" ht="18" customHeight="1" spans="2:2">
      <c r="B879" s="138"/>
    </row>
    <row r="880" ht="18" customHeight="1" spans="2:2">
      <c r="B880" s="138"/>
    </row>
    <row r="881" ht="18" customHeight="1" spans="2:2">
      <c r="B881" s="138"/>
    </row>
    <row r="882" ht="18" customHeight="1" spans="2:2">
      <c r="B882" s="138"/>
    </row>
    <row r="883" ht="18" customHeight="1" spans="2:2">
      <c r="B883" s="138"/>
    </row>
    <row r="884" ht="18" customHeight="1" spans="2:2">
      <c r="B884" s="138"/>
    </row>
    <row r="885" ht="18" customHeight="1" spans="2:2">
      <c r="B885" s="138"/>
    </row>
    <row r="886" ht="18" customHeight="1" spans="2:2">
      <c r="B886" s="138"/>
    </row>
    <row r="887" ht="18" customHeight="1" spans="2:2">
      <c r="B887" s="138"/>
    </row>
    <row r="888" ht="18" customHeight="1" spans="2:2">
      <c r="B888" s="138"/>
    </row>
    <row r="889" ht="18" customHeight="1" spans="2:2">
      <c r="B889" s="138"/>
    </row>
    <row r="890" ht="18" customHeight="1" spans="2:2">
      <c r="B890" s="138"/>
    </row>
    <row r="891" ht="18" customHeight="1" spans="2:2">
      <c r="B891" s="138"/>
    </row>
    <row r="892" ht="18" customHeight="1" spans="2:2">
      <c r="B892" s="138"/>
    </row>
    <row r="893" ht="18" customHeight="1" spans="2:2">
      <c r="B893" s="138"/>
    </row>
    <row r="894" ht="18" customHeight="1" spans="2:2">
      <c r="B894" s="138"/>
    </row>
    <row r="895" ht="18" customHeight="1" spans="2:2">
      <c r="B895" s="138"/>
    </row>
    <row r="896" ht="18" customHeight="1" spans="2:2">
      <c r="B896" s="138"/>
    </row>
    <row r="897" ht="18" customHeight="1" spans="2:2">
      <c r="B897" s="138"/>
    </row>
    <row r="898" ht="18" customHeight="1" spans="2:2">
      <c r="B898" s="138"/>
    </row>
    <row r="899" ht="18" customHeight="1" spans="2:2">
      <c r="B899" s="138"/>
    </row>
    <row r="900" ht="18" customHeight="1" spans="2:2">
      <c r="B900" s="138"/>
    </row>
    <row r="901" ht="18" customHeight="1" spans="2:2">
      <c r="B901" s="138"/>
    </row>
    <row r="902" ht="18" customHeight="1" spans="2:2">
      <c r="B902" s="138"/>
    </row>
    <row r="903" ht="18" customHeight="1" spans="2:2">
      <c r="B903" s="138"/>
    </row>
    <row r="904" ht="18" customHeight="1" spans="2:2">
      <c r="B904" s="138"/>
    </row>
    <row r="905" ht="18" customHeight="1" spans="2:2">
      <c r="B905" s="138"/>
    </row>
    <row r="906" ht="18" customHeight="1" spans="2:2">
      <c r="B906" s="138"/>
    </row>
    <row r="907" ht="18" customHeight="1" spans="2:2">
      <c r="B907" s="138"/>
    </row>
    <row r="908" ht="18" customHeight="1" spans="2:2">
      <c r="B908" s="138"/>
    </row>
    <row r="909" ht="18" customHeight="1" spans="2:2">
      <c r="B909" s="138"/>
    </row>
    <row r="910" ht="18" customHeight="1" spans="2:2">
      <c r="B910" s="138"/>
    </row>
    <row r="911" ht="18" customHeight="1" spans="2:2">
      <c r="B911" s="138"/>
    </row>
    <row r="912" ht="18" customHeight="1" spans="2:2">
      <c r="B912" s="138"/>
    </row>
    <row r="913" ht="18" customHeight="1" spans="2:2">
      <c r="B913" s="138"/>
    </row>
    <row r="914" ht="18" customHeight="1" spans="2:2">
      <c r="B914" s="138"/>
    </row>
    <row r="915" ht="18" customHeight="1" spans="2:2">
      <c r="B915" s="138"/>
    </row>
    <row r="916" ht="18" customHeight="1" spans="2:2">
      <c r="B916" s="138"/>
    </row>
    <row r="917" ht="18" customHeight="1" spans="2:2">
      <c r="B917" s="138"/>
    </row>
    <row r="918" ht="18" customHeight="1" spans="2:2">
      <c r="B918" s="138"/>
    </row>
    <row r="919" ht="18" customHeight="1" spans="2:2">
      <c r="B919" s="138"/>
    </row>
    <row r="920" ht="18" customHeight="1" spans="2:2">
      <c r="B920" s="138"/>
    </row>
    <row r="921" ht="18" customHeight="1" spans="2:2">
      <c r="B921" s="138"/>
    </row>
    <row r="922" ht="18" customHeight="1" spans="2:2">
      <c r="B922" s="138"/>
    </row>
    <row r="923" ht="18" customHeight="1" spans="2:2">
      <c r="B923" s="138"/>
    </row>
    <row r="924" ht="18" customHeight="1" spans="2:2">
      <c r="B924" s="138"/>
    </row>
    <row r="925" ht="18" customHeight="1" spans="2:2">
      <c r="B925" s="138"/>
    </row>
    <row r="926" ht="18" customHeight="1" spans="2:2">
      <c r="B926" s="138"/>
    </row>
    <row r="927" ht="18" customHeight="1" spans="2:2">
      <c r="B927" s="138"/>
    </row>
    <row r="928" ht="18" customHeight="1" spans="2:2">
      <c r="B928" s="138"/>
    </row>
    <row r="929" ht="18" customHeight="1" spans="2:2">
      <c r="B929" s="138"/>
    </row>
    <row r="930" ht="18" customHeight="1" spans="2:2">
      <c r="B930" s="138"/>
    </row>
    <row r="931" ht="18" customHeight="1" spans="2:2">
      <c r="B931" s="138"/>
    </row>
    <row r="932" ht="18" customHeight="1" spans="2:2">
      <c r="B932" s="138"/>
    </row>
    <row r="933" ht="18" customHeight="1" spans="2:2">
      <c r="B933" s="138"/>
    </row>
    <row r="934" ht="18" customHeight="1" spans="2:2">
      <c r="B934" s="138"/>
    </row>
    <row r="935" ht="18" customHeight="1" spans="2:2">
      <c r="B935" s="138"/>
    </row>
    <row r="936" ht="18" customHeight="1" spans="2:2">
      <c r="B936" s="138"/>
    </row>
    <row r="937" ht="18" customHeight="1" spans="2:2">
      <c r="B937" s="138"/>
    </row>
    <row r="938" ht="18" customHeight="1" spans="2:2">
      <c r="B938" s="138"/>
    </row>
    <row r="939" ht="18" customHeight="1" spans="2:2">
      <c r="B939" s="138"/>
    </row>
    <row r="940" ht="18" customHeight="1" spans="2:2">
      <c r="B940" s="138"/>
    </row>
    <row r="941" ht="18" customHeight="1" spans="2:2">
      <c r="B941" s="138"/>
    </row>
    <row r="942" ht="18" customHeight="1" spans="2:2">
      <c r="B942" s="138"/>
    </row>
    <row r="943" ht="18" customHeight="1" spans="2:2">
      <c r="B943" s="138"/>
    </row>
    <row r="944" ht="18" customHeight="1" spans="2:2">
      <c r="B944" s="138"/>
    </row>
    <row r="945" ht="18" customHeight="1" spans="2:2">
      <c r="B945" s="138"/>
    </row>
    <row r="946" ht="18" customHeight="1" spans="2:2">
      <c r="B946" s="138"/>
    </row>
    <row r="947" ht="18" customHeight="1" spans="2:2">
      <c r="B947" s="138"/>
    </row>
    <row r="948" ht="18" customHeight="1" spans="2:2">
      <c r="B948" s="138"/>
    </row>
    <row r="949" ht="18" customHeight="1" spans="2:2">
      <c r="B949" s="138"/>
    </row>
    <row r="950" ht="18" customHeight="1" spans="2:2">
      <c r="B950" s="138"/>
    </row>
    <row r="951" ht="18" customHeight="1" spans="2:2">
      <c r="B951" s="138"/>
    </row>
    <row r="952" ht="18" customHeight="1" spans="2:2">
      <c r="B952" s="138"/>
    </row>
    <row r="953" ht="18" customHeight="1" spans="2:2">
      <c r="B953" s="138"/>
    </row>
    <row r="954" ht="18" customHeight="1" spans="2:2">
      <c r="B954" s="138"/>
    </row>
    <row r="955" ht="18" customHeight="1" spans="2:2">
      <c r="B955" s="138"/>
    </row>
    <row r="956" ht="18" customHeight="1" spans="2:2">
      <c r="B956" s="138"/>
    </row>
    <row r="957" ht="18" customHeight="1" spans="2:2">
      <c r="B957" s="138"/>
    </row>
    <row r="958" ht="18" customHeight="1" spans="2:2">
      <c r="B958" s="138"/>
    </row>
    <row r="959" ht="18" customHeight="1" spans="2:2">
      <c r="B959" s="138"/>
    </row>
    <row r="960" ht="18" customHeight="1" spans="2:2">
      <c r="B960" s="138"/>
    </row>
    <row r="961" ht="18" customHeight="1" spans="2:2">
      <c r="B961" s="138"/>
    </row>
    <row r="962" ht="18" customHeight="1" spans="2:2">
      <c r="B962" s="138"/>
    </row>
    <row r="963" ht="18" customHeight="1" spans="2:2">
      <c r="B963" s="138"/>
    </row>
    <row r="964" ht="18" customHeight="1" spans="2:2">
      <c r="B964" s="138"/>
    </row>
    <row r="965" ht="18" customHeight="1" spans="2:2">
      <c r="B965" s="138"/>
    </row>
    <row r="966" ht="18" customHeight="1" spans="2:2">
      <c r="B966" s="138"/>
    </row>
    <row r="967" ht="18" customHeight="1" spans="2:2">
      <c r="B967" s="138"/>
    </row>
    <row r="968" ht="18" customHeight="1" spans="2:2">
      <c r="B968" s="138"/>
    </row>
    <row r="969" ht="18" customHeight="1" spans="2:2">
      <c r="B969" s="138"/>
    </row>
    <row r="970" ht="18" customHeight="1" spans="2:2">
      <c r="B970" s="138"/>
    </row>
    <row r="971" ht="18" customHeight="1" spans="2:2">
      <c r="B971" s="138"/>
    </row>
    <row r="972" ht="18" customHeight="1" spans="2:2">
      <c r="B972" s="138"/>
    </row>
    <row r="973" ht="18" customHeight="1" spans="2:2">
      <c r="B973" s="138"/>
    </row>
    <row r="974" ht="18" customHeight="1" spans="2:2">
      <c r="B974" s="138"/>
    </row>
    <row r="975" ht="18" customHeight="1" spans="2:2">
      <c r="B975" s="138"/>
    </row>
    <row r="976" ht="18" customHeight="1" spans="2:2">
      <c r="B976" s="138"/>
    </row>
    <row r="977" ht="18" customHeight="1" spans="2:2">
      <c r="B977" s="138"/>
    </row>
    <row r="978" ht="18" customHeight="1" spans="2:2">
      <c r="B978" s="138"/>
    </row>
    <row r="979" ht="18" customHeight="1" spans="2:2">
      <c r="B979" s="138"/>
    </row>
    <row r="980" ht="18" customHeight="1" spans="2:2">
      <c r="B980" s="138"/>
    </row>
    <row r="981" ht="18" customHeight="1" spans="2:2">
      <c r="B981" s="138"/>
    </row>
    <row r="982" ht="18" customHeight="1" spans="2:2">
      <c r="B982" s="138"/>
    </row>
    <row r="983" ht="18" customHeight="1" spans="2:2">
      <c r="B983" s="138"/>
    </row>
    <row r="984" ht="18" customHeight="1" spans="2:2">
      <c r="B984" s="138"/>
    </row>
    <row r="985" ht="18" customHeight="1" spans="2:2">
      <c r="B985" s="138"/>
    </row>
    <row r="986" ht="18" customHeight="1" spans="2:2">
      <c r="B986" s="138"/>
    </row>
    <row r="987" ht="18" customHeight="1" spans="2:2">
      <c r="B987" s="138"/>
    </row>
    <row r="988" ht="18" customHeight="1" spans="2:2">
      <c r="B988" s="138"/>
    </row>
    <row r="989" ht="18" customHeight="1" spans="2:2">
      <c r="B989" s="138"/>
    </row>
    <row r="990" ht="18" customHeight="1" spans="2:2">
      <c r="B990" s="138"/>
    </row>
    <row r="991" ht="18" customHeight="1" spans="2:2">
      <c r="B991" s="138"/>
    </row>
    <row r="992" ht="18" customHeight="1" spans="2:2">
      <c r="B992" s="138"/>
    </row>
    <row r="993" ht="18" customHeight="1" spans="2:2">
      <c r="B993" s="138"/>
    </row>
    <row r="994" ht="18" customHeight="1" spans="2:2">
      <c r="B994" s="138"/>
    </row>
    <row r="995" ht="18" customHeight="1" spans="2:2">
      <c r="B995" s="138"/>
    </row>
    <row r="996" ht="18" customHeight="1" spans="2:2">
      <c r="B996" s="138"/>
    </row>
    <row r="997" ht="18" customHeight="1" spans="2:2">
      <c r="B997" s="138"/>
    </row>
    <row r="998" ht="18" customHeight="1" spans="2:2">
      <c r="B998" s="138"/>
    </row>
    <row r="999" ht="18" customHeight="1" spans="2:2">
      <c r="B999" s="138"/>
    </row>
    <row r="1000" ht="18" customHeight="1" spans="2:2">
      <c r="B1000" s="138"/>
    </row>
  </sheetData>
  <mergeCells count="1">
    <mergeCell ref="A1:D1"/>
  </mergeCells>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953"/>
  <sheetViews>
    <sheetView workbookViewId="0">
      <selection activeCell="A1" sqref="A1"/>
    </sheetView>
  </sheetViews>
  <sheetFormatPr defaultColWidth="12.6272727272727" defaultRowHeight="15.75" customHeight="1"/>
  <cols>
    <col min="1" max="1" width="16.6272727272727" customWidth="1"/>
    <col min="2" max="2" width="7" customWidth="1"/>
    <col min="3" max="3" width="16.1272727272727" customWidth="1"/>
    <col min="4" max="4" width="4" customWidth="1"/>
    <col min="5" max="5" width="3.75454545454545" customWidth="1"/>
    <col min="6" max="6" width="9.88181818181818" customWidth="1"/>
    <col min="8" max="8" width="9.75454545454545" customWidth="1"/>
    <col min="9" max="9" width="3.5" customWidth="1"/>
    <col min="10" max="10" width="9.12727272727273" customWidth="1"/>
    <col min="11" max="11" width="18" customWidth="1"/>
    <col min="12" max="12" width="15.5" customWidth="1"/>
    <col min="14" max="14" width="45.6272727272727" customWidth="1"/>
  </cols>
  <sheetData>
    <row r="1" customHeight="1" spans="1:40">
      <c r="A1" s="2" t="s">
        <v>681</v>
      </c>
      <c r="B1" s="2" t="s">
        <v>3</v>
      </c>
      <c r="C1" s="3" t="s">
        <v>4</v>
      </c>
      <c r="D1" s="4" t="s">
        <v>7</v>
      </c>
      <c r="E1" s="2" t="s">
        <v>492</v>
      </c>
      <c r="F1" s="2" t="s">
        <v>2</v>
      </c>
      <c r="G1" s="2" t="s">
        <v>682</v>
      </c>
      <c r="H1" s="2" t="s">
        <v>8</v>
      </c>
      <c r="I1" s="2" t="s">
        <v>683</v>
      </c>
      <c r="J1" s="2" t="s">
        <v>10</v>
      </c>
      <c r="K1" s="2" t="s">
        <v>684</v>
      </c>
      <c r="L1" s="2" t="s">
        <v>6</v>
      </c>
      <c r="M1" s="2" t="s">
        <v>20</v>
      </c>
      <c r="N1" s="2" t="s">
        <v>17</v>
      </c>
      <c r="O1" s="102" t="s">
        <v>18</v>
      </c>
      <c r="P1" s="102" t="s">
        <v>544</v>
      </c>
      <c r="Q1" s="2" t="s">
        <v>23</v>
      </c>
      <c r="R1" s="2" t="s">
        <v>24</v>
      </c>
      <c r="S1" s="2" t="s">
        <v>545</v>
      </c>
      <c r="T1" s="2" t="s">
        <v>25</v>
      </c>
      <c r="U1" s="29"/>
      <c r="V1" s="29"/>
      <c r="W1" s="29"/>
      <c r="X1" s="29"/>
      <c r="Y1" s="29"/>
      <c r="Z1" s="29"/>
      <c r="AA1" s="29"/>
      <c r="AB1" s="29"/>
      <c r="AC1" s="29"/>
      <c r="AD1" s="29"/>
      <c r="AE1" s="29"/>
      <c r="AF1" s="29"/>
      <c r="AG1" s="29"/>
      <c r="AH1" s="29"/>
      <c r="AI1" s="29"/>
      <c r="AJ1" s="29"/>
      <c r="AK1" s="29"/>
      <c r="AL1" s="29"/>
      <c r="AM1" s="29"/>
      <c r="AN1" s="29"/>
    </row>
    <row r="2" customHeight="1" spans="1:40">
      <c r="A2" s="74">
        <v>46</v>
      </c>
      <c r="B2" s="8"/>
      <c r="C2" s="8"/>
      <c r="D2" s="13" t="s">
        <v>685</v>
      </c>
      <c r="E2" s="75"/>
      <c r="F2" s="8"/>
      <c r="G2" s="76"/>
      <c r="H2" s="8"/>
      <c r="I2" s="8"/>
      <c r="J2" s="8"/>
      <c r="K2" s="8"/>
      <c r="L2" s="8"/>
      <c r="M2" s="8"/>
      <c r="N2" s="13">
        <v>2</v>
      </c>
      <c r="O2" s="103"/>
      <c r="P2" s="103"/>
      <c r="Q2" s="8"/>
      <c r="R2" s="13">
        <v>4</v>
      </c>
      <c r="S2" s="8"/>
      <c r="T2" s="8"/>
      <c r="U2" s="7"/>
      <c r="V2" s="7"/>
      <c r="W2" s="7"/>
      <c r="X2" s="7"/>
      <c r="Y2" s="7"/>
      <c r="Z2" s="7"/>
      <c r="AA2" s="7"/>
      <c r="AB2" s="7"/>
      <c r="AC2" s="7"/>
      <c r="AD2" s="7"/>
      <c r="AE2" s="7"/>
      <c r="AF2" s="7"/>
      <c r="AG2" s="7"/>
      <c r="AH2" s="7"/>
      <c r="AI2" s="7"/>
      <c r="AJ2" s="7"/>
      <c r="AK2" s="7"/>
      <c r="AL2" s="7"/>
      <c r="AM2" s="7"/>
      <c r="AN2" s="7"/>
    </row>
    <row r="3" customHeight="1" spans="1:40">
      <c r="A3" s="77" t="s">
        <v>686</v>
      </c>
      <c r="B3" s="78" t="s">
        <v>28</v>
      </c>
      <c r="C3" s="79" t="s">
        <v>247</v>
      </c>
      <c r="D3" s="80">
        <v>0</v>
      </c>
      <c r="E3" s="81" t="s">
        <v>687</v>
      </c>
      <c r="F3" s="79"/>
      <c r="G3" s="79"/>
      <c r="H3" s="79"/>
      <c r="I3" s="79"/>
      <c r="J3" s="79" t="s">
        <v>37</v>
      </c>
      <c r="K3" s="81" t="s">
        <v>688</v>
      </c>
      <c r="L3" s="81"/>
      <c r="M3" s="104"/>
      <c r="N3" s="79"/>
      <c r="O3" s="78"/>
      <c r="P3" s="105" t="s">
        <v>689</v>
      </c>
      <c r="Q3" s="81"/>
      <c r="R3" s="81" t="s">
        <v>690</v>
      </c>
      <c r="S3" s="119"/>
      <c r="T3" s="119"/>
      <c r="U3" s="119">
        <v>45547</v>
      </c>
      <c r="V3" s="79" t="s">
        <v>571</v>
      </c>
      <c r="W3" s="119"/>
      <c r="X3" s="119">
        <v>45488</v>
      </c>
      <c r="Y3" s="81" t="s">
        <v>189</v>
      </c>
      <c r="Z3" s="79" t="s">
        <v>691</v>
      </c>
      <c r="AA3" s="128">
        <v>45310</v>
      </c>
      <c r="AB3" s="79"/>
      <c r="AC3" s="129">
        <v>45314</v>
      </c>
      <c r="AD3" s="78" t="s">
        <v>692</v>
      </c>
      <c r="AE3" s="104"/>
      <c r="AF3" s="104"/>
      <c r="AG3" s="104"/>
      <c r="AH3" s="104"/>
      <c r="AI3" s="104"/>
      <c r="AJ3" s="104"/>
      <c r="AK3" s="104"/>
      <c r="AL3" s="104"/>
      <c r="AM3" s="104"/>
      <c r="AN3" s="104"/>
    </row>
    <row r="4" customHeight="1" spans="1:40">
      <c r="A4" s="8" t="s">
        <v>693</v>
      </c>
      <c r="B4" s="82" t="s">
        <v>28</v>
      </c>
      <c r="C4" s="8" t="s">
        <v>247</v>
      </c>
      <c r="D4" s="20"/>
      <c r="E4" s="20">
        <v>45467</v>
      </c>
      <c r="F4" s="82" t="s">
        <v>35</v>
      </c>
      <c r="G4" s="83"/>
      <c r="H4" s="83"/>
      <c r="I4" s="83"/>
      <c r="J4" s="17" t="s">
        <v>694</v>
      </c>
      <c r="K4" s="106" t="s">
        <v>695</v>
      </c>
      <c r="L4" s="82" t="s">
        <v>696</v>
      </c>
      <c r="M4" s="82" t="s">
        <v>697</v>
      </c>
      <c r="N4" s="83"/>
      <c r="O4" s="107"/>
      <c r="P4" s="107" t="s">
        <v>29</v>
      </c>
      <c r="Q4" s="19">
        <v>45311</v>
      </c>
      <c r="R4" s="83"/>
      <c r="S4" s="83"/>
      <c r="T4" s="82" t="s">
        <v>698</v>
      </c>
      <c r="U4" s="7"/>
      <c r="V4" s="7"/>
      <c r="W4" s="7"/>
      <c r="X4" s="7"/>
      <c r="Y4" s="7"/>
      <c r="Z4" s="7"/>
      <c r="AA4" s="7"/>
      <c r="AB4" s="7"/>
      <c r="AC4" s="7"/>
      <c r="AD4" s="7"/>
      <c r="AE4" s="7"/>
      <c r="AF4" s="7"/>
      <c r="AG4" s="7"/>
      <c r="AH4" s="7"/>
      <c r="AI4" s="7"/>
      <c r="AJ4" s="7"/>
      <c r="AK4" s="7"/>
      <c r="AL4" s="7"/>
      <c r="AM4" s="7"/>
      <c r="AN4" s="7"/>
    </row>
    <row r="5" customHeight="1" spans="1:40">
      <c r="A5" s="8" t="s">
        <v>699</v>
      </c>
      <c r="B5" s="84" t="s">
        <v>28</v>
      </c>
      <c r="C5" s="8" t="s">
        <v>247</v>
      </c>
      <c r="D5" s="20"/>
      <c r="E5" s="20">
        <v>45471</v>
      </c>
      <c r="F5" s="84" t="s">
        <v>35</v>
      </c>
      <c r="G5" s="85"/>
      <c r="H5" s="84" t="s">
        <v>700</v>
      </c>
      <c r="I5" s="86"/>
      <c r="J5" s="84" t="s">
        <v>701</v>
      </c>
      <c r="K5" s="86"/>
      <c r="L5" s="84" t="s">
        <v>702</v>
      </c>
      <c r="M5" s="84" t="s">
        <v>701</v>
      </c>
      <c r="N5" s="108" t="s">
        <v>703</v>
      </c>
      <c r="O5" s="107"/>
      <c r="P5" s="107" t="s">
        <v>704</v>
      </c>
      <c r="Q5" s="86"/>
      <c r="R5" s="86"/>
      <c r="S5" s="86"/>
      <c r="T5" s="82" t="s">
        <v>196</v>
      </c>
      <c r="U5" s="7"/>
      <c r="V5" s="7"/>
      <c r="W5" s="7"/>
      <c r="X5" s="7"/>
      <c r="Y5" s="7"/>
      <c r="Z5" s="7"/>
      <c r="AA5" s="7"/>
      <c r="AB5" s="7"/>
      <c r="AC5" s="7"/>
      <c r="AD5" s="7"/>
      <c r="AE5" s="7"/>
      <c r="AF5" s="7"/>
      <c r="AG5" s="7"/>
      <c r="AH5" s="7"/>
      <c r="AI5" s="7"/>
      <c r="AJ5" s="7"/>
      <c r="AK5" s="7"/>
      <c r="AL5" s="7"/>
      <c r="AM5" s="7"/>
      <c r="AN5" s="7"/>
    </row>
    <row r="6" customHeight="1" spans="1:40">
      <c r="A6" s="8" t="s">
        <v>705</v>
      </c>
      <c r="B6" s="84" t="s">
        <v>28</v>
      </c>
      <c r="C6" s="8" t="s">
        <v>247</v>
      </c>
      <c r="D6" s="20"/>
      <c r="E6" s="20">
        <v>45471</v>
      </c>
      <c r="F6" s="84" t="s">
        <v>35</v>
      </c>
      <c r="G6" s="85"/>
      <c r="H6" s="86" t="s">
        <v>706</v>
      </c>
      <c r="I6" s="86"/>
      <c r="J6" s="109" t="s">
        <v>707</v>
      </c>
      <c r="K6" s="86" t="s">
        <v>708</v>
      </c>
      <c r="L6" s="86" t="s">
        <v>709</v>
      </c>
      <c r="M6" s="84" t="s">
        <v>701</v>
      </c>
      <c r="N6" s="110" t="s">
        <v>710</v>
      </c>
      <c r="O6" s="107" t="s">
        <v>711</v>
      </c>
      <c r="P6" s="107" t="s">
        <v>712</v>
      </c>
      <c r="Q6" s="86"/>
      <c r="R6" s="86"/>
      <c r="S6" s="86"/>
      <c r="T6" s="82" t="s">
        <v>196</v>
      </c>
      <c r="U6" s="7"/>
      <c r="V6" s="7"/>
      <c r="W6" s="7"/>
      <c r="X6" s="7"/>
      <c r="Y6" s="7"/>
      <c r="Z6" s="7"/>
      <c r="AA6" s="7"/>
      <c r="AB6" s="7"/>
      <c r="AC6" s="7"/>
      <c r="AD6" s="7"/>
      <c r="AE6" s="7"/>
      <c r="AF6" s="7"/>
      <c r="AG6" s="7"/>
      <c r="AH6" s="7"/>
      <c r="AI6" s="7"/>
      <c r="AJ6" s="7"/>
      <c r="AK6" s="7"/>
      <c r="AL6" s="7"/>
      <c r="AM6" s="7"/>
      <c r="AN6" s="7"/>
    </row>
    <row r="7" customHeight="1" spans="1:40">
      <c r="A7" s="8" t="s">
        <v>713</v>
      </c>
      <c r="B7" s="87" t="s">
        <v>28</v>
      </c>
      <c r="C7" s="8" t="s">
        <v>247</v>
      </c>
      <c r="D7" s="20"/>
      <c r="E7" s="20">
        <v>45478</v>
      </c>
      <c r="F7" s="88" t="s">
        <v>61</v>
      </c>
      <c r="G7" s="89"/>
      <c r="H7" s="89"/>
      <c r="I7" s="89"/>
      <c r="J7" s="89"/>
      <c r="K7" s="89"/>
      <c r="L7" s="88" t="s">
        <v>714</v>
      </c>
      <c r="M7" s="89"/>
      <c r="N7" s="111" t="s">
        <v>715</v>
      </c>
      <c r="O7" s="89"/>
      <c r="P7" s="89"/>
      <c r="Q7" s="120">
        <v>45489</v>
      </c>
      <c r="R7" s="89"/>
      <c r="S7" s="89"/>
      <c r="T7" s="89"/>
      <c r="U7" s="89"/>
      <c r="V7" s="7"/>
      <c r="W7" s="89"/>
      <c r="X7" s="89"/>
      <c r="Y7" s="89"/>
      <c r="Z7" s="89"/>
      <c r="AA7" s="89"/>
      <c r="AB7" s="89"/>
      <c r="AC7" s="89"/>
      <c r="AD7" s="89"/>
      <c r="AE7" s="89"/>
      <c r="AF7" s="89"/>
      <c r="AG7" s="89"/>
      <c r="AH7" s="89"/>
      <c r="AI7" s="89"/>
      <c r="AJ7" s="89"/>
      <c r="AK7" s="89"/>
      <c r="AL7" s="89"/>
      <c r="AM7" s="89"/>
      <c r="AN7" s="89"/>
    </row>
    <row r="8" customHeight="1" spans="1:40">
      <c r="A8" s="8" t="s">
        <v>716</v>
      </c>
      <c r="B8" s="84" t="s">
        <v>28</v>
      </c>
      <c r="C8" s="8" t="s">
        <v>247</v>
      </c>
      <c r="D8" s="20"/>
      <c r="E8" s="20">
        <v>45471</v>
      </c>
      <c r="F8" s="84" t="s">
        <v>189</v>
      </c>
      <c r="G8" s="86" t="s">
        <v>717</v>
      </c>
      <c r="H8" s="86"/>
      <c r="I8" s="86"/>
      <c r="J8" s="84" t="s">
        <v>718</v>
      </c>
      <c r="K8" s="86"/>
      <c r="L8" s="86" t="s">
        <v>719</v>
      </c>
      <c r="M8" s="86"/>
      <c r="N8" s="86"/>
      <c r="O8" s="107"/>
      <c r="P8" s="107" t="s">
        <v>720</v>
      </c>
      <c r="Q8" s="121">
        <v>45484</v>
      </c>
      <c r="R8" s="86"/>
      <c r="S8" s="86"/>
      <c r="T8" s="82" t="s">
        <v>196</v>
      </c>
      <c r="U8" s="7"/>
      <c r="V8" s="7"/>
      <c r="W8" s="7"/>
      <c r="X8" s="7"/>
      <c r="Y8" s="7"/>
      <c r="Z8" s="7"/>
      <c r="AA8" s="7"/>
      <c r="AB8" s="7"/>
      <c r="AC8" s="7"/>
      <c r="AD8" s="7"/>
      <c r="AE8" s="7"/>
      <c r="AF8" s="7"/>
      <c r="AG8" s="7"/>
      <c r="AH8" s="7"/>
      <c r="AI8" s="7"/>
      <c r="AJ8" s="7"/>
      <c r="AK8" s="7"/>
      <c r="AL8" s="7"/>
      <c r="AM8" s="7"/>
      <c r="AN8" s="7"/>
    </row>
    <row r="9" customHeight="1" spans="1:40">
      <c r="A9" s="8" t="s">
        <v>721</v>
      </c>
      <c r="B9" s="84" t="s">
        <v>28</v>
      </c>
      <c r="C9" s="8" t="s">
        <v>247</v>
      </c>
      <c r="D9" s="20"/>
      <c r="E9" s="20">
        <v>45471</v>
      </c>
      <c r="F9" s="84" t="s">
        <v>35</v>
      </c>
      <c r="G9" s="85"/>
      <c r="H9" s="86"/>
      <c r="I9" s="86"/>
      <c r="J9" s="109" t="s">
        <v>722</v>
      </c>
      <c r="K9" s="86"/>
      <c r="L9" s="86"/>
      <c r="M9" s="86"/>
      <c r="N9" s="86"/>
      <c r="O9" s="107"/>
      <c r="P9" s="107" t="s">
        <v>723</v>
      </c>
      <c r="Q9" s="122">
        <v>45484</v>
      </c>
      <c r="R9" s="86"/>
      <c r="S9" s="86"/>
      <c r="T9" s="82" t="s">
        <v>196</v>
      </c>
      <c r="U9" s="7"/>
      <c r="V9" s="7"/>
      <c r="W9" s="7"/>
      <c r="X9" s="7"/>
      <c r="Y9" s="7"/>
      <c r="Z9" s="7"/>
      <c r="AA9" s="7"/>
      <c r="AB9" s="7"/>
      <c r="AC9" s="7"/>
      <c r="AD9" s="7"/>
      <c r="AE9" s="7"/>
      <c r="AF9" s="7"/>
      <c r="AG9" s="7"/>
      <c r="AH9" s="7"/>
      <c r="AI9" s="7"/>
      <c r="AJ9" s="7"/>
      <c r="AK9" s="7"/>
      <c r="AL9" s="7"/>
      <c r="AM9" s="7"/>
      <c r="AN9" s="7"/>
    </row>
    <row r="10" customHeight="1" spans="1:40">
      <c r="A10" s="90" t="s">
        <v>724</v>
      </c>
      <c r="B10" s="91" t="s">
        <v>28</v>
      </c>
      <c r="C10" s="90" t="s">
        <v>247</v>
      </c>
      <c r="D10" s="92">
        <v>5</v>
      </c>
      <c r="E10" s="91" t="s">
        <v>725</v>
      </c>
      <c r="F10" s="90"/>
      <c r="G10" s="91"/>
      <c r="H10" s="91"/>
      <c r="I10" s="91" t="s">
        <v>42</v>
      </c>
      <c r="J10" s="91"/>
      <c r="K10" s="91" t="s">
        <v>726</v>
      </c>
      <c r="L10" s="91" t="s">
        <v>727</v>
      </c>
      <c r="M10" s="112"/>
      <c r="N10" s="113" t="s">
        <v>728</v>
      </c>
      <c r="O10" s="114"/>
      <c r="P10" s="91"/>
      <c r="Q10" s="91" t="s">
        <v>729</v>
      </c>
      <c r="R10" s="91" t="s">
        <v>730</v>
      </c>
      <c r="S10" s="123"/>
      <c r="T10" s="123"/>
      <c r="U10" s="123"/>
      <c r="V10" s="124"/>
      <c r="W10" s="123"/>
      <c r="X10" s="123">
        <v>45471</v>
      </c>
      <c r="Y10" s="91" t="s">
        <v>35</v>
      </c>
      <c r="Z10" s="124" t="s">
        <v>609</v>
      </c>
      <c r="AA10" s="91" t="s">
        <v>29</v>
      </c>
      <c r="AB10" s="90"/>
      <c r="AC10" s="90"/>
      <c r="AD10" s="90"/>
      <c r="AE10" s="91" t="s">
        <v>731</v>
      </c>
      <c r="AF10" s="112"/>
      <c r="AG10" s="112"/>
      <c r="AH10" s="112"/>
      <c r="AI10" s="112"/>
      <c r="AJ10" s="112"/>
      <c r="AK10" s="112"/>
      <c r="AL10" s="112"/>
      <c r="AM10" s="112"/>
      <c r="AN10" s="112"/>
    </row>
    <row r="11" customHeight="1" spans="1:40">
      <c r="A11" s="8" t="s">
        <v>732</v>
      </c>
      <c r="B11" s="84" t="s">
        <v>28</v>
      </c>
      <c r="C11" s="8" t="s">
        <v>247</v>
      </c>
      <c r="D11" s="20"/>
      <c r="E11" s="20">
        <v>45471</v>
      </c>
      <c r="F11" s="84" t="s">
        <v>35</v>
      </c>
      <c r="G11" s="85"/>
      <c r="H11" s="86"/>
      <c r="I11" s="86"/>
      <c r="J11" s="109" t="s">
        <v>733</v>
      </c>
      <c r="K11" s="86"/>
      <c r="L11" s="84"/>
      <c r="M11" s="84" t="s">
        <v>734</v>
      </c>
      <c r="N11" s="86"/>
      <c r="O11" s="107"/>
      <c r="P11" s="107" t="s">
        <v>563</v>
      </c>
      <c r="Q11" s="86"/>
      <c r="R11" s="86"/>
      <c r="S11" s="86"/>
      <c r="T11" s="82" t="s">
        <v>735</v>
      </c>
      <c r="U11" s="7"/>
      <c r="V11" s="7"/>
      <c r="W11" s="7"/>
      <c r="X11" s="7"/>
      <c r="Y11" s="7"/>
      <c r="Z11" s="7"/>
      <c r="AA11" s="7"/>
      <c r="AB11" s="7"/>
      <c r="AC11" s="7"/>
      <c r="AD11" s="7"/>
      <c r="AE11" s="7"/>
      <c r="AF11" s="7"/>
      <c r="AG11" s="7"/>
      <c r="AH11" s="7"/>
      <c r="AI11" s="7"/>
      <c r="AJ11" s="7"/>
      <c r="AK11" s="7"/>
      <c r="AL11" s="7"/>
      <c r="AM11" s="7"/>
      <c r="AN11" s="7"/>
    </row>
    <row r="12" customHeight="1" spans="1:40">
      <c r="A12" s="93" t="s">
        <v>657</v>
      </c>
      <c r="B12" s="94" t="s">
        <v>28</v>
      </c>
      <c r="C12" s="93" t="s">
        <v>449</v>
      </c>
      <c r="D12" s="95"/>
      <c r="E12" s="95">
        <v>45478</v>
      </c>
      <c r="F12" s="94" t="s">
        <v>189</v>
      </c>
      <c r="G12" s="96"/>
      <c r="H12" s="93"/>
      <c r="I12" s="93"/>
      <c r="J12" s="94" t="s">
        <v>462</v>
      </c>
      <c r="K12" s="93"/>
      <c r="L12" s="94" t="s">
        <v>659</v>
      </c>
      <c r="M12" s="94"/>
      <c r="N12" s="115" t="s">
        <v>439</v>
      </c>
      <c r="O12" s="94"/>
      <c r="P12" s="94" t="s">
        <v>88</v>
      </c>
      <c r="Q12" s="93"/>
      <c r="R12" s="93"/>
      <c r="S12" s="93"/>
      <c r="T12" s="94" t="s">
        <v>196</v>
      </c>
      <c r="U12" s="125"/>
      <c r="V12" s="125"/>
      <c r="W12" s="125"/>
      <c r="X12" s="125"/>
      <c r="Y12" s="125"/>
      <c r="Z12" s="125"/>
      <c r="AA12" s="125"/>
      <c r="AB12" s="125"/>
      <c r="AC12" s="125"/>
      <c r="AD12" s="125"/>
      <c r="AE12" s="125"/>
      <c r="AF12" s="125"/>
      <c r="AG12" s="125"/>
      <c r="AH12" s="125"/>
      <c r="AI12" s="125"/>
      <c r="AJ12" s="125"/>
      <c r="AK12" s="125"/>
      <c r="AL12" s="125"/>
      <c r="AM12" s="125"/>
      <c r="AN12" s="125"/>
    </row>
    <row r="13" customHeight="1" spans="1:40">
      <c r="A13" s="97" t="s">
        <v>736</v>
      </c>
      <c r="B13" s="98" t="s">
        <v>28</v>
      </c>
      <c r="C13" s="97" t="s">
        <v>36</v>
      </c>
      <c r="D13" s="99">
        <v>6</v>
      </c>
      <c r="E13" s="97"/>
      <c r="F13" s="97"/>
      <c r="G13" s="100"/>
      <c r="H13" s="100"/>
      <c r="I13" s="100"/>
      <c r="J13" s="100"/>
      <c r="K13" s="100" t="s">
        <v>737</v>
      </c>
      <c r="L13" s="97"/>
      <c r="M13" s="116"/>
      <c r="N13" s="117"/>
      <c r="O13" s="118" t="s">
        <v>738</v>
      </c>
      <c r="P13" s="98"/>
      <c r="Q13" s="98" t="s">
        <v>739</v>
      </c>
      <c r="R13" s="98" t="s">
        <v>29</v>
      </c>
      <c r="S13" s="126"/>
      <c r="T13" s="126"/>
      <c r="U13" s="126"/>
      <c r="V13" s="127"/>
      <c r="W13" s="126"/>
      <c r="X13" s="126">
        <v>45478</v>
      </c>
      <c r="Y13" s="98" t="s">
        <v>35</v>
      </c>
      <c r="Z13" s="127" t="s">
        <v>609</v>
      </c>
      <c r="AA13" s="98" t="s">
        <v>88</v>
      </c>
      <c r="AB13" s="97"/>
      <c r="AC13" s="97"/>
      <c r="AD13" s="97"/>
      <c r="AE13" s="98" t="s">
        <v>196</v>
      </c>
      <c r="AF13" s="116"/>
      <c r="AG13" s="116"/>
      <c r="AH13" s="116"/>
      <c r="AI13" s="116"/>
      <c r="AJ13" s="116"/>
      <c r="AK13" s="116"/>
      <c r="AL13" s="116"/>
      <c r="AM13" s="116"/>
      <c r="AN13" s="116"/>
    </row>
    <row r="14" customHeight="1" spans="1:40">
      <c r="A14" s="7"/>
      <c r="B14" s="7"/>
      <c r="C14" s="101"/>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row>
    <row r="15" customHeight="1" spans="1:40">
      <c r="A15" s="101"/>
      <c r="B15" s="7"/>
      <c r="C15" s="101"/>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row>
    <row r="16" customHeight="1" spans="1:40">
      <c r="A16" s="101"/>
      <c r="B16" s="7"/>
      <c r="C16" s="101"/>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row>
    <row r="17" customHeight="1" spans="1:40">
      <c r="A17" s="101"/>
      <c r="B17" s="7"/>
      <c r="C17" s="101"/>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row>
    <row r="18" customHeight="1" spans="1:40">
      <c r="A18" s="101"/>
      <c r="B18" s="7"/>
      <c r="C18" s="101"/>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row>
    <row r="19" customHeight="1" spans="1:40">
      <c r="A19" s="101"/>
      <c r="B19" s="7"/>
      <c r="C19" s="101"/>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row>
    <row r="20" customHeight="1" spans="1:40">
      <c r="A20" s="101"/>
      <c r="B20" s="7"/>
      <c r="C20" s="101"/>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row>
    <row r="21" customHeight="1" spans="1:40">
      <c r="A21" s="101"/>
      <c r="B21" s="7"/>
      <c r="C21" s="101"/>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row>
    <row r="22" customHeight="1" spans="1:40">
      <c r="A22" s="101"/>
      <c r="B22" s="7"/>
      <c r="C22" s="101"/>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row>
    <row r="23" customHeight="1" spans="1:40">
      <c r="A23" s="101"/>
      <c r="B23" s="7"/>
      <c r="C23" s="101"/>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row>
    <row r="24" customHeight="1" spans="1:40">
      <c r="A24" s="101"/>
      <c r="B24" s="7"/>
      <c r="C24" s="101"/>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row>
    <row r="25" customHeight="1" spans="1:40">
      <c r="A25" s="101"/>
      <c r="B25" s="7"/>
      <c r="C25" s="101"/>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row>
    <row r="26" customHeight="1" spans="1:40">
      <c r="A26" s="101"/>
      <c r="B26" s="7"/>
      <c r="C26" s="101"/>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row>
    <row r="27" customHeight="1" spans="1:40">
      <c r="A27" s="101"/>
      <c r="B27" s="7"/>
      <c r="C27" s="101"/>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row>
    <row r="28" customHeight="1" spans="1:40">
      <c r="A28" s="101"/>
      <c r="B28" s="7"/>
      <c r="C28" s="101"/>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row>
    <row r="29" customHeight="1" spans="1:40">
      <c r="A29" s="101"/>
      <c r="B29" s="7"/>
      <c r="C29" s="101"/>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row>
    <row r="30" customHeight="1" spans="1:40">
      <c r="A30" s="101"/>
      <c r="B30" s="7"/>
      <c r="C30" s="101"/>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row>
    <row r="31" customHeight="1" spans="1:40">
      <c r="A31" s="101"/>
      <c r="B31" s="7"/>
      <c r="C31" s="101"/>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row>
    <row r="32" customHeight="1" spans="1:40">
      <c r="A32" s="101"/>
      <c r="B32" s="7"/>
      <c r="C32" s="101"/>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row>
    <row r="33" customHeight="1" spans="1:40">
      <c r="A33" s="101"/>
      <c r="B33" s="7"/>
      <c r="C33" s="101"/>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row>
    <row r="34" customHeight="1" spans="1:40">
      <c r="A34" s="101"/>
      <c r="B34" s="7"/>
      <c r="C34" s="101"/>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row>
    <row r="35" customHeight="1" spans="1:40">
      <c r="A35" s="101"/>
      <c r="B35" s="7"/>
      <c r="C35" s="101"/>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row>
    <row r="36" customHeight="1" spans="1:40">
      <c r="A36" s="101"/>
      <c r="B36" s="7"/>
      <c r="C36" s="101"/>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row>
    <row r="37" customHeight="1" spans="1:40">
      <c r="A37" s="101"/>
      <c r="B37" s="7"/>
      <c r="C37" s="101"/>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row>
    <row r="38" customHeight="1" spans="1:40">
      <c r="A38" s="101"/>
      <c r="B38" s="7"/>
      <c r="C38" s="101"/>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row>
    <row r="39" customHeight="1" spans="1:40">
      <c r="A39" s="101"/>
      <c r="B39" s="7"/>
      <c r="C39" s="101"/>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row>
    <row r="40" customHeight="1" spans="1:40">
      <c r="A40" s="101"/>
      <c r="B40" s="7"/>
      <c r="C40" s="101"/>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row>
    <row r="41" customHeight="1" spans="1:40">
      <c r="A41" s="101"/>
      <c r="B41" s="7"/>
      <c r="C41" s="101"/>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row>
    <row r="42" customHeight="1" spans="1:40">
      <c r="A42" s="101"/>
      <c r="B42" s="7"/>
      <c r="C42" s="101"/>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row>
    <row r="43" customHeight="1" spans="1:40">
      <c r="A43" s="101"/>
      <c r="B43" s="7"/>
      <c r="C43" s="101"/>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row>
    <row r="44" customHeight="1" spans="1:40">
      <c r="A44" s="101"/>
      <c r="B44" s="7"/>
      <c r="C44" s="101"/>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row>
    <row r="45" customHeight="1" spans="1:40">
      <c r="A45" s="101"/>
      <c r="B45" s="7"/>
      <c r="C45" s="101"/>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row>
    <row r="46" customHeight="1" spans="1:40">
      <c r="A46" s="101"/>
      <c r="B46" s="7"/>
      <c r="C46" s="101"/>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customHeight="1" spans="1:40">
      <c r="A47" s="101"/>
      <c r="B47" s="7"/>
      <c r="C47" s="101"/>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customHeight="1" spans="1:40">
      <c r="A48" s="101"/>
      <c r="B48" s="7"/>
      <c r="C48" s="101"/>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customHeight="1" spans="1:40">
      <c r="A49" s="101"/>
      <c r="B49" s="7"/>
      <c r="C49" s="101"/>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row>
    <row r="50" customHeight="1" spans="1:40">
      <c r="A50" s="101"/>
      <c r="B50" s="7"/>
      <c r="C50" s="101"/>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row>
    <row r="51" customHeight="1" spans="1:40">
      <c r="A51" s="101"/>
      <c r="B51" s="7"/>
      <c r="C51" s="101"/>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row>
    <row r="52" customHeight="1" spans="1:40">
      <c r="A52" s="101"/>
      <c r="B52" s="7"/>
      <c r="C52" s="101"/>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row>
    <row r="53" customHeight="1" spans="1:40">
      <c r="A53" s="101"/>
      <c r="B53" s="7"/>
      <c r="C53" s="101"/>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row>
    <row r="54" customHeight="1" spans="1:40">
      <c r="A54" s="101"/>
      <c r="B54" s="7"/>
      <c r="C54" s="101"/>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row>
    <row r="55" customHeight="1" spans="1:40">
      <c r="A55" s="101"/>
      <c r="B55" s="7"/>
      <c r="C55" s="101"/>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row>
    <row r="56" customHeight="1" spans="1:40">
      <c r="A56" s="101"/>
      <c r="B56" s="7"/>
      <c r="C56" s="101"/>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row>
    <row r="57" customHeight="1" spans="1:40">
      <c r="A57" s="101"/>
      <c r="B57" s="7"/>
      <c r="C57" s="101"/>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row>
    <row r="58" customHeight="1" spans="1:40">
      <c r="A58" s="101"/>
      <c r="B58" s="7"/>
      <c r="C58" s="101"/>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row>
    <row r="59" customHeight="1" spans="1:40">
      <c r="A59" s="101"/>
      <c r="B59" s="7"/>
      <c r="C59" s="101"/>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row>
    <row r="60" customHeight="1" spans="1:40">
      <c r="A60" s="101"/>
      <c r="B60" s="7"/>
      <c r="C60" s="101"/>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row>
    <row r="61" customHeight="1" spans="1:40">
      <c r="A61" s="101"/>
      <c r="B61" s="7"/>
      <c r="C61" s="101"/>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row>
    <row r="62" customHeight="1" spans="1:40">
      <c r="A62" s="101"/>
      <c r="B62" s="7"/>
      <c r="C62" s="101"/>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row>
    <row r="63" customHeight="1" spans="1:40">
      <c r="A63" s="101"/>
      <c r="B63" s="7"/>
      <c r="C63" s="101"/>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row>
    <row r="64" customHeight="1" spans="1:40">
      <c r="A64" s="101"/>
      <c r="B64" s="7"/>
      <c r="C64" s="101"/>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row>
    <row r="65" customHeight="1" spans="1:40">
      <c r="A65" s="101"/>
      <c r="B65" s="7"/>
      <c r="C65" s="101"/>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row>
    <row r="66" customHeight="1" spans="1:40">
      <c r="A66" s="101"/>
      <c r="B66" s="7"/>
      <c r="C66" s="101"/>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row>
    <row r="67" customHeight="1" spans="1:40">
      <c r="A67" s="101"/>
      <c r="B67" s="7"/>
      <c r="C67" s="101"/>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row>
    <row r="68" customHeight="1" spans="1:40">
      <c r="A68" s="101"/>
      <c r="B68" s="7"/>
      <c r="C68" s="101"/>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row>
    <row r="69" customHeight="1" spans="1:40">
      <c r="A69" s="101"/>
      <c r="B69" s="7"/>
      <c r="C69" s="101"/>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row>
    <row r="70" customHeight="1" spans="1:40">
      <c r="A70" s="101"/>
      <c r="B70" s="7"/>
      <c r="C70" s="101"/>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row>
    <row r="71" customHeight="1" spans="1:40">
      <c r="A71" s="101"/>
      <c r="B71" s="7"/>
      <c r="C71" s="101"/>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row>
    <row r="72" customHeight="1" spans="1:40">
      <c r="A72" s="101"/>
      <c r="B72" s="7"/>
      <c r="C72" s="101"/>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row>
    <row r="73" customHeight="1" spans="1:40">
      <c r="A73" s="101"/>
      <c r="B73" s="7"/>
      <c r="C73" s="101"/>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row>
    <row r="74" customHeight="1" spans="1:40">
      <c r="A74" s="101"/>
      <c r="B74" s="7"/>
      <c r="C74" s="101"/>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row>
    <row r="75" customHeight="1" spans="1:40">
      <c r="A75" s="101"/>
      <c r="B75" s="7"/>
      <c r="C75" s="101"/>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row>
    <row r="76" customHeight="1" spans="1:40">
      <c r="A76" s="101"/>
      <c r="B76" s="7"/>
      <c r="C76" s="101"/>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row>
    <row r="77" customHeight="1" spans="1:40">
      <c r="A77" s="101"/>
      <c r="B77" s="7"/>
      <c r="C77" s="101"/>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customHeight="1" spans="1:40">
      <c r="A78" s="101"/>
      <c r="B78" s="7"/>
      <c r="C78" s="101"/>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row>
    <row r="79" customHeight="1" spans="1:40">
      <c r="A79" s="101"/>
      <c r="B79" s="7"/>
      <c r="C79" s="101"/>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row>
    <row r="80" customHeight="1" spans="1:40">
      <c r="A80" s="101"/>
      <c r="B80" s="7"/>
      <c r="C80" s="101"/>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row>
    <row r="81" customHeight="1" spans="1:40">
      <c r="A81" s="101"/>
      <c r="B81" s="7"/>
      <c r="C81" s="101"/>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row>
    <row r="82" customHeight="1" spans="1:40">
      <c r="A82" s="101"/>
      <c r="B82" s="7"/>
      <c r="C82" s="101"/>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row>
    <row r="83" customHeight="1" spans="1:40">
      <c r="A83" s="101"/>
      <c r="B83" s="7"/>
      <c r="C83" s="101"/>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row>
    <row r="84" customHeight="1" spans="1:40">
      <c r="A84" s="101"/>
      <c r="B84" s="7"/>
      <c r="C84" s="101"/>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row>
    <row r="85" customHeight="1" spans="1:40">
      <c r="A85" s="101"/>
      <c r="B85" s="7"/>
      <c r="C85" s="101"/>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row>
    <row r="86" customHeight="1" spans="1:40">
      <c r="A86" s="101"/>
      <c r="B86" s="7"/>
      <c r="C86" s="101"/>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row>
    <row r="87" customHeight="1" spans="1:40">
      <c r="A87" s="101"/>
      <c r="B87" s="7"/>
      <c r="C87" s="101"/>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row>
    <row r="88" customHeight="1" spans="1:40">
      <c r="A88" s="101"/>
      <c r="B88" s="7"/>
      <c r="C88" s="101"/>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row>
    <row r="89" customHeight="1" spans="1:40">
      <c r="A89" s="101"/>
      <c r="B89" s="7"/>
      <c r="C89" s="101"/>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row>
    <row r="90" customHeight="1" spans="1:40">
      <c r="A90" s="101"/>
      <c r="B90" s="7"/>
      <c r="C90" s="101"/>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row>
    <row r="91" customHeight="1" spans="1:40">
      <c r="A91" s="101"/>
      <c r="B91" s="7"/>
      <c r="C91" s="101"/>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row>
    <row r="92" customHeight="1" spans="1:40">
      <c r="A92" s="101"/>
      <c r="B92" s="7"/>
      <c r="C92" s="101"/>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row>
    <row r="93" customHeight="1" spans="1:40">
      <c r="A93" s="101"/>
      <c r="B93" s="7"/>
      <c r="C93" s="101"/>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row>
    <row r="94" customHeight="1" spans="1:40">
      <c r="A94" s="101"/>
      <c r="B94" s="7"/>
      <c r="C94" s="101"/>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row>
    <row r="95" customHeight="1" spans="1:40">
      <c r="A95" s="101"/>
      <c r="B95" s="7"/>
      <c r="C95" s="101"/>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row>
    <row r="96" customHeight="1" spans="1:40">
      <c r="A96" s="101"/>
      <c r="B96" s="7"/>
      <c r="C96" s="101"/>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row>
    <row r="97" customHeight="1" spans="1:40">
      <c r="A97" s="101"/>
      <c r="B97" s="7"/>
      <c r="C97" s="101"/>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row>
    <row r="98" customHeight="1" spans="1:40">
      <c r="A98" s="101"/>
      <c r="B98" s="7"/>
      <c r="C98" s="101"/>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row>
    <row r="99" customHeight="1" spans="1:40">
      <c r="A99" s="101"/>
      <c r="B99" s="7"/>
      <c r="C99" s="101"/>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row>
    <row r="100" customHeight="1" spans="1:40">
      <c r="A100" s="101"/>
      <c r="B100" s="7"/>
      <c r="C100" s="101"/>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row>
    <row r="101" customHeight="1" spans="1:40">
      <c r="A101" s="101"/>
      <c r="B101" s="7"/>
      <c r="C101" s="101"/>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row>
    <row r="102" customHeight="1" spans="1:40">
      <c r="A102" s="101"/>
      <c r="B102" s="7"/>
      <c r="C102" s="101"/>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row>
    <row r="103" customHeight="1" spans="1:40">
      <c r="A103" s="101"/>
      <c r="B103" s="7"/>
      <c r="C103" s="101"/>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row>
    <row r="104" customHeight="1" spans="1:40">
      <c r="A104" s="101"/>
      <c r="B104" s="7"/>
      <c r="C104" s="101"/>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row>
    <row r="105" customHeight="1" spans="1:40">
      <c r="A105" s="101"/>
      <c r="B105" s="7"/>
      <c r="C105" s="101"/>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row>
    <row r="106" customHeight="1" spans="1:40">
      <c r="A106" s="101"/>
      <c r="B106" s="7"/>
      <c r="C106" s="101"/>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row>
    <row r="107" customHeight="1" spans="1:40">
      <c r="A107" s="101"/>
      <c r="B107" s="7"/>
      <c r="C107" s="101"/>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row>
    <row r="108" customHeight="1" spans="1:40">
      <c r="A108" s="101"/>
      <c r="B108" s="7"/>
      <c r="C108" s="101"/>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row>
    <row r="109" customHeight="1" spans="1:40">
      <c r="A109" s="101"/>
      <c r="B109" s="7"/>
      <c r="C109" s="101"/>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row>
    <row r="110" customHeight="1" spans="1:40">
      <c r="A110" s="101"/>
      <c r="B110" s="7"/>
      <c r="C110" s="101"/>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row>
    <row r="111" customHeight="1" spans="1:40">
      <c r="A111" s="101"/>
      <c r="B111" s="7"/>
      <c r="C111" s="101"/>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row>
    <row r="112" customHeight="1" spans="1:40">
      <c r="A112" s="101"/>
      <c r="B112" s="7"/>
      <c r="C112" s="101"/>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row>
    <row r="113" customHeight="1" spans="1:40">
      <c r="A113" s="101"/>
      <c r="B113" s="7"/>
      <c r="C113" s="101"/>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row>
    <row r="114" customHeight="1" spans="1:40">
      <c r="A114" s="101"/>
      <c r="B114" s="7"/>
      <c r="C114" s="101"/>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row>
    <row r="115" customHeight="1" spans="1:40">
      <c r="A115" s="101"/>
      <c r="B115" s="7"/>
      <c r="C115" s="101"/>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row>
    <row r="116" customHeight="1" spans="1:40">
      <c r="A116" s="101"/>
      <c r="B116" s="7"/>
      <c r="C116" s="101"/>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row>
    <row r="117" customHeight="1" spans="1:40">
      <c r="A117" s="101"/>
      <c r="B117" s="7"/>
      <c r="C117" s="101"/>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row>
    <row r="118" customHeight="1" spans="1:40">
      <c r="A118" s="101"/>
      <c r="B118" s="7"/>
      <c r="C118" s="101"/>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row>
    <row r="119" customHeight="1" spans="1:40">
      <c r="A119" s="101"/>
      <c r="B119" s="7"/>
      <c r="C119" s="101"/>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row>
    <row r="120" customHeight="1" spans="1:40">
      <c r="A120" s="101"/>
      <c r="B120" s="7"/>
      <c r="C120" s="101"/>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row>
    <row r="121" customHeight="1" spans="1:40">
      <c r="A121" s="101"/>
      <c r="B121" s="7"/>
      <c r="C121" s="101"/>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row>
    <row r="122" customHeight="1" spans="1:40">
      <c r="A122" s="101"/>
      <c r="B122" s="7"/>
      <c r="C122" s="101"/>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row>
    <row r="123" customHeight="1" spans="1:40">
      <c r="A123" s="101"/>
      <c r="B123" s="7"/>
      <c r="C123" s="101"/>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row>
    <row r="124" customHeight="1" spans="1:40">
      <c r="A124" s="101"/>
      <c r="B124" s="7"/>
      <c r="C124" s="101"/>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row>
    <row r="125" customHeight="1" spans="1:40">
      <c r="A125" s="101"/>
      <c r="B125" s="7"/>
      <c r="C125" s="101"/>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row>
    <row r="126" customHeight="1" spans="1:40">
      <c r="A126" s="101"/>
      <c r="B126" s="7"/>
      <c r="C126" s="101"/>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row>
    <row r="127" customHeight="1" spans="1:40">
      <c r="A127" s="101"/>
      <c r="B127" s="7"/>
      <c r="C127" s="101"/>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row>
    <row r="128" customHeight="1" spans="1:40">
      <c r="A128" s="101"/>
      <c r="B128" s="7"/>
      <c r="C128" s="101"/>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row>
    <row r="129" customHeight="1" spans="1:40">
      <c r="A129" s="101"/>
      <c r="B129" s="7"/>
      <c r="C129" s="101"/>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row>
    <row r="130" customHeight="1" spans="1:40">
      <c r="A130" s="101"/>
      <c r="B130" s="7"/>
      <c r="C130" s="101"/>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row>
    <row r="131" customHeight="1" spans="1:40">
      <c r="A131" s="101"/>
      <c r="B131" s="7"/>
      <c r="C131" s="101"/>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row>
    <row r="132" customHeight="1" spans="1:40">
      <c r="A132" s="101"/>
      <c r="B132" s="7"/>
      <c r="C132" s="101"/>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row>
    <row r="133" customHeight="1" spans="1:40">
      <c r="A133" s="101"/>
      <c r="B133" s="7"/>
      <c r="C133" s="101"/>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row>
    <row r="134" customHeight="1" spans="1:40">
      <c r="A134" s="101"/>
      <c r="B134" s="7"/>
      <c r="C134" s="101"/>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row>
    <row r="135" customHeight="1" spans="1:40">
      <c r="A135" s="101"/>
      <c r="B135" s="7"/>
      <c r="C135" s="101"/>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row>
    <row r="136" customHeight="1" spans="1:40">
      <c r="A136" s="101"/>
      <c r="B136" s="7"/>
      <c r="C136" s="101"/>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row>
    <row r="137" customHeight="1" spans="1:40">
      <c r="A137" s="101"/>
      <c r="B137" s="7"/>
      <c r="C137" s="101"/>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row>
    <row r="138" customHeight="1" spans="1:40">
      <c r="A138" s="101"/>
      <c r="B138" s="7"/>
      <c r="C138" s="101"/>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row>
    <row r="139" customHeight="1" spans="1:40">
      <c r="A139" s="101"/>
      <c r="B139" s="7"/>
      <c r="C139" s="101"/>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row>
    <row r="140" customHeight="1" spans="1:40">
      <c r="A140" s="101"/>
      <c r="B140" s="7"/>
      <c r="C140" s="101"/>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row>
    <row r="141" customHeight="1" spans="1:40">
      <c r="A141" s="101"/>
      <c r="B141" s="7"/>
      <c r="C141" s="101"/>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row>
    <row r="142" customHeight="1" spans="1:40">
      <c r="A142" s="101"/>
      <c r="B142" s="7"/>
      <c r="C142" s="101"/>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row>
    <row r="143" customHeight="1" spans="1:40">
      <c r="A143" s="101"/>
      <c r="B143" s="7"/>
      <c r="C143" s="101"/>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row>
    <row r="144" customHeight="1" spans="1:40">
      <c r="A144" s="101"/>
      <c r="B144" s="7"/>
      <c r="C144" s="101"/>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row>
    <row r="145" customHeight="1" spans="1:40">
      <c r="A145" s="101"/>
      <c r="B145" s="7"/>
      <c r="C145" s="101"/>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row>
    <row r="146" customHeight="1" spans="1:40">
      <c r="A146" s="101"/>
      <c r="B146" s="7"/>
      <c r="C146" s="101"/>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row>
    <row r="147" customHeight="1" spans="1:40">
      <c r="A147" s="101"/>
      <c r="B147" s="7"/>
      <c r="C147" s="101"/>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row>
    <row r="148" customHeight="1" spans="1:40">
      <c r="A148" s="101"/>
      <c r="B148" s="7"/>
      <c r="C148" s="101"/>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row>
    <row r="149" customHeight="1" spans="1:40">
      <c r="A149" s="101"/>
      <c r="B149" s="7"/>
      <c r="C149" s="101"/>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row>
    <row r="150" customHeight="1" spans="1:40">
      <c r="A150" s="101"/>
      <c r="B150" s="7"/>
      <c r="C150" s="101"/>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row>
    <row r="151" customHeight="1" spans="1:40">
      <c r="A151" s="101"/>
      <c r="B151" s="7"/>
      <c r="C151" s="101"/>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row>
    <row r="152" customHeight="1" spans="1:40">
      <c r="A152" s="101"/>
      <c r="B152" s="7"/>
      <c r="C152" s="101"/>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row>
    <row r="153" customHeight="1" spans="1:40">
      <c r="A153" s="101"/>
      <c r="B153" s="7"/>
      <c r="C153" s="101"/>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row>
    <row r="154" customHeight="1" spans="1:40">
      <c r="A154" s="101"/>
      <c r="B154" s="7"/>
      <c r="C154" s="101"/>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row>
    <row r="155" customHeight="1" spans="1:40">
      <c r="A155" s="101"/>
      <c r="B155" s="7"/>
      <c r="C155" s="101"/>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row>
    <row r="156" customHeight="1" spans="1:40">
      <c r="A156" s="101"/>
      <c r="B156" s="7"/>
      <c r="C156" s="101"/>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row>
    <row r="157" customHeight="1" spans="1:40">
      <c r="A157" s="101"/>
      <c r="B157" s="7"/>
      <c r="C157" s="101"/>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row>
    <row r="158" customHeight="1" spans="1:40">
      <c r="A158" s="101"/>
      <c r="B158" s="7"/>
      <c r="C158" s="101"/>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row>
    <row r="159" customHeight="1" spans="1:40">
      <c r="A159" s="101"/>
      <c r="B159" s="7"/>
      <c r="C159" s="101"/>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row>
    <row r="160" customHeight="1" spans="1:40">
      <c r="A160" s="101"/>
      <c r="B160" s="7"/>
      <c r="C160" s="101"/>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row>
    <row r="161" customHeight="1" spans="1:40">
      <c r="A161" s="101"/>
      <c r="B161" s="7"/>
      <c r="C161" s="101"/>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row>
    <row r="162" customHeight="1" spans="1:40">
      <c r="A162" s="101"/>
      <c r="B162" s="7"/>
      <c r="C162" s="101"/>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row>
    <row r="163" customHeight="1" spans="1:40">
      <c r="A163" s="101"/>
      <c r="B163" s="7"/>
      <c r="C163" s="101"/>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row>
    <row r="164" customHeight="1" spans="1:40">
      <c r="A164" s="101"/>
      <c r="B164" s="7"/>
      <c r="C164" s="101"/>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row>
    <row r="165" customHeight="1" spans="1:40">
      <c r="A165" s="101"/>
      <c r="B165" s="7"/>
      <c r="C165" s="101"/>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row>
    <row r="166" customHeight="1" spans="1:40">
      <c r="A166" s="101"/>
      <c r="B166" s="7"/>
      <c r="C166" s="101"/>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row>
    <row r="167" customHeight="1" spans="1:40">
      <c r="A167" s="101"/>
      <c r="B167" s="7"/>
      <c r="C167" s="101"/>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row>
    <row r="168" customHeight="1" spans="1:40">
      <c r="A168" s="101"/>
      <c r="B168" s="7"/>
      <c r="C168" s="101"/>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row>
    <row r="169" customHeight="1" spans="1:40">
      <c r="A169" s="101"/>
      <c r="B169" s="7"/>
      <c r="C169" s="101"/>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row>
    <row r="170" customHeight="1" spans="1:40">
      <c r="A170" s="101"/>
      <c r="B170" s="7"/>
      <c r="C170" s="101"/>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row>
    <row r="171" customHeight="1" spans="1:40">
      <c r="A171" s="101"/>
      <c r="B171" s="7"/>
      <c r="C171" s="101"/>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row>
    <row r="172" customHeight="1" spans="1:40">
      <c r="A172" s="101"/>
      <c r="B172" s="7"/>
      <c r="C172" s="101"/>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row>
    <row r="173" customHeight="1" spans="1:40">
      <c r="A173" s="101"/>
      <c r="B173" s="7"/>
      <c r="C173" s="101"/>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row>
    <row r="174" customHeight="1" spans="1:40">
      <c r="A174" s="101"/>
      <c r="B174" s="7"/>
      <c r="C174" s="101"/>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row>
    <row r="175" customHeight="1" spans="1:40">
      <c r="A175" s="101"/>
      <c r="B175" s="7"/>
      <c r="C175" s="101"/>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row>
    <row r="176" customHeight="1" spans="1:40">
      <c r="A176" s="101"/>
      <c r="B176" s="7"/>
      <c r="C176" s="101"/>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row>
    <row r="177" customHeight="1" spans="1:40">
      <c r="A177" s="101"/>
      <c r="B177" s="7"/>
      <c r="C177" s="101"/>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row>
    <row r="178" customHeight="1" spans="1:40">
      <c r="A178" s="101"/>
      <c r="B178" s="7"/>
      <c r="C178" s="101"/>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row>
    <row r="179" customHeight="1" spans="1:40">
      <c r="A179" s="101"/>
      <c r="B179" s="7"/>
      <c r="C179" s="101"/>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row>
    <row r="180" customHeight="1" spans="1:40">
      <c r="A180" s="101"/>
      <c r="B180" s="7"/>
      <c r="C180" s="101"/>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row>
    <row r="181" customHeight="1" spans="1:40">
      <c r="A181" s="101"/>
      <c r="B181" s="7"/>
      <c r="C181" s="101"/>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row>
    <row r="182" customHeight="1" spans="1:40">
      <c r="A182" s="101"/>
      <c r="B182" s="7"/>
      <c r="C182" s="101"/>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row>
    <row r="183" customHeight="1" spans="1:40">
      <c r="A183" s="101"/>
      <c r="B183" s="7"/>
      <c r="C183" s="101"/>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row>
    <row r="184" customHeight="1" spans="1:40">
      <c r="A184" s="101"/>
      <c r="B184" s="7"/>
      <c r="C184" s="101"/>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row>
    <row r="185" customHeight="1" spans="1:40">
      <c r="A185" s="101"/>
      <c r="B185" s="7"/>
      <c r="C185" s="101"/>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row>
    <row r="186" customHeight="1" spans="1:40">
      <c r="A186" s="101"/>
      <c r="B186" s="7"/>
      <c r="C186" s="101"/>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row>
    <row r="187" customHeight="1" spans="1:40">
      <c r="A187" s="101"/>
      <c r="B187" s="7"/>
      <c r="C187" s="101"/>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row>
    <row r="188" customHeight="1" spans="1:40">
      <c r="A188" s="101"/>
      <c r="B188" s="7"/>
      <c r="C188" s="101"/>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row>
    <row r="189" customHeight="1" spans="1:40">
      <c r="A189" s="101"/>
      <c r="B189" s="7"/>
      <c r="C189" s="101"/>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row>
    <row r="190" customHeight="1" spans="1:40">
      <c r="A190" s="101"/>
      <c r="B190" s="7"/>
      <c r="C190" s="101"/>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row>
    <row r="191" customHeight="1" spans="1:40">
      <c r="A191" s="101"/>
      <c r="B191" s="7"/>
      <c r="C191" s="101"/>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row>
    <row r="192" customHeight="1" spans="1:40">
      <c r="A192" s="101"/>
      <c r="B192" s="7"/>
      <c r="C192" s="101"/>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row>
    <row r="193" customHeight="1" spans="1:40">
      <c r="A193" s="101"/>
      <c r="B193" s="7"/>
      <c r="C193" s="101"/>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row>
    <row r="194" customHeight="1" spans="1:40">
      <c r="A194" s="101"/>
      <c r="B194" s="7"/>
      <c r="C194" s="101"/>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row>
    <row r="195" customHeight="1" spans="1:40">
      <c r="A195" s="101"/>
      <c r="B195" s="7"/>
      <c r="C195" s="101"/>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row>
    <row r="196" customHeight="1" spans="1:40">
      <c r="A196" s="101"/>
      <c r="B196" s="7"/>
      <c r="C196" s="101"/>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row>
    <row r="197" customHeight="1" spans="1:40">
      <c r="A197" s="101"/>
      <c r="B197" s="7"/>
      <c r="C197" s="101"/>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row>
    <row r="198" customHeight="1" spans="1:40">
      <c r="A198" s="101"/>
      <c r="B198" s="7"/>
      <c r="C198" s="101"/>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row>
    <row r="199" customHeight="1" spans="1:40">
      <c r="A199" s="101"/>
      <c r="B199" s="7"/>
      <c r="C199" s="101"/>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row>
    <row r="200" customHeight="1" spans="1:40">
      <c r="A200" s="101"/>
      <c r="B200" s="7"/>
      <c r="C200" s="101"/>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row>
    <row r="201" customHeight="1" spans="1:40">
      <c r="A201" s="101"/>
      <c r="B201" s="7"/>
      <c r="C201" s="101"/>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row>
    <row r="202" customHeight="1" spans="1:40">
      <c r="A202" s="101"/>
      <c r="B202" s="7"/>
      <c r="C202" s="101"/>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row>
    <row r="203" customHeight="1" spans="1:40">
      <c r="A203" s="101"/>
      <c r="B203" s="7"/>
      <c r="C203" s="101"/>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row>
    <row r="204" customHeight="1" spans="1:40">
      <c r="A204" s="101"/>
      <c r="B204" s="7"/>
      <c r="C204" s="101"/>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row>
    <row r="205" customHeight="1" spans="1:40">
      <c r="A205" s="101"/>
      <c r="B205" s="7"/>
      <c r="C205" s="101"/>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row>
    <row r="206" customHeight="1" spans="1:40">
      <c r="A206" s="101"/>
      <c r="B206" s="7"/>
      <c r="C206" s="101"/>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row>
    <row r="207" customHeight="1" spans="1:40">
      <c r="A207" s="101"/>
      <c r="B207" s="7"/>
      <c r="C207" s="101"/>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row>
    <row r="208" customHeight="1" spans="1:40">
      <c r="A208" s="101"/>
      <c r="B208" s="7"/>
      <c r="C208" s="101"/>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row>
    <row r="209" customHeight="1" spans="1:40">
      <c r="A209" s="101"/>
      <c r="B209" s="7"/>
      <c r="C209" s="101"/>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row>
    <row r="210" customHeight="1" spans="1:40">
      <c r="A210" s="101"/>
      <c r="B210" s="7"/>
      <c r="C210" s="101"/>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row>
    <row r="211" customHeight="1" spans="1:40">
      <c r="A211" s="101"/>
      <c r="B211" s="7"/>
      <c r="C211" s="101"/>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customHeight="1" spans="1:40">
      <c r="A212" s="101"/>
      <c r="B212" s="7"/>
      <c r="C212" s="101"/>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customHeight="1" spans="1:40">
      <c r="A213" s="101"/>
      <c r="B213" s="7"/>
      <c r="C213" s="101"/>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customHeight="1" spans="1:40">
      <c r="A214" s="101"/>
      <c r="B214" s="7"/>
      <c r="C214" s="101"/>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customHeight="1" spans="1:40">
      <c r="A215" s="101"/>
      <c r="B215" s="7"/>
      <c r="C215" s="101"/>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customHeight="1" spans="1:40">
      <c r="A216" s="101"/>
      <c r="B216" s="7"/>
      <c r="C216" s="101"/>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customHeight="1" spans="1:40">
      <c r="A217" s="101"/>
      <c r="B217" s="7"/>
      <c r="C217" s="101"/>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customHeight="1" spans="1:40">
      <c r="A218" s="101"/>
      <c r="B218" s="7"/>
      <c r="C218" s="101"/>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customHeight="1" spans="1:40">
      <c r="A219" s="101"/>
      <c r="B219" s="7"/>
      <c r="C219" s="101"/>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customHeight="1" spans="1:40">
      <c r="A220" s="101"/>
      <c r="B220" s="7"/>
      <c r="C220" s="101"/>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customHeight="1" spans="1:40">
      <c r="A221" s="101"/>
      <c r="B221" s="7"/>
      <c r="C221" s="101"/>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customHeight="1" spans="1:40">
      <c r="A222" s="101"/>
      <c r="B222" s="7"/>
      <c r="C222" s="101"/>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customHeight="1" spans="1:40">
      <c r="A223" s="101"/>
      <c r="B223" s="7"/>
      <c r="C223" s="101"/>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customHeight="1" spans="1:40">
      <c r="A224" s="101"/>
      <c r="B224" s="7"/>
      <c r="C224" s="101"/>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customHeight="1" spans="1:40">
      <c r="A225" s="101"/>
      <c r="B225" s="7"/>
      <c r="C225" s="101"/>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customHeight="1" spans="1:40">
      <c r="A226" s="101"/>
      <c r="B226" s="7"/>
      <c r="C226" s="101"/>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customHeight="1" spans="1:40">
      <c r="A227" s="101"/>
      <c r="B227" s="7"/>
      <c r="C227" s="101"/>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customHeight="1" spans="1:40">
      <c r="A228" s="101"/>
      <c r="B228" s="7"/>
      <c r="C228" s="101"/>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customHeight="1" spans="1:40">
      <c r="A229" s="101"/>
      <c r="B229" s="7"/>
      <c r="C229" s="101"/>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customHeight="1" spans="1:40">
      <c r="A230" s="101"/>
      <c r="B230" s="7"/>
      <c r="C230" s="101"/>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customHeight="1" spans="1:40">
      <c r="A231" s="101"/>
      <c r="B231" s="7"/>
      <c r="C231" s="101"/>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customHeight="1" spans="1:40">
      <c r="A232" s="101"/>
      <c r="B232" s="7"/>
      <c r="C232" s="101"/>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customHeight="1" spans="1:40">
      <c r="A233" s="101"/>
      <c r="B233" s="7"/>
      <c r="C233" s="101"/>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customHeight="1" spans="1:40">
      <c r="A234" s="101"/>
      <c r="B234" s="7"/>
      <c r="C234" s="101"/>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customHeight="1" spans="1:40">
      <c r="A235" s="101"/>
      <c r="B235" s="7"/>
      <c r="C235" s="101"/>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customHeight="1" spans="1:40">
      <c r="A236" s="101"/>
      <c r="B236" s="7"/>
      <c r="C236" s="101"/>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customHeight="1" spans="1:40">
      <c r="A237" s="101"/>
      <c r="B237" s="7"/>
      <c r="C237" s="101"/>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customHeight="1" spans="1:40">
      <c r="A238" s="101"/>
      <c r="B238" s="7"/>
      <c r="C238" s="101"/>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customHeight="1" spans="1:40">
      <c r="A239" s="101"/>
      <c r="B239" s="7"/>
      <c r="C239" s="101"/>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customHeight="1" spans="1:40">
      <c r="A240" s="101"/>
      <c r="B240" s="7"/>
      <c r="C240" s="101"/>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customHeight="1" spans="1:40">
      <c r="A241" s="101"/>
      <c r="B241" s="7"/>
      <c r="C241" s="101"/>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customHeight="1" spans="1:40">
      <c r="A242" s="101"/>
      <c r="B242" s="7"/>
      <c r="C242" s="101"/>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customHeight="1" spans="1:40">
      <c r="A243" s="101"/>
      <c r="B243" s="7"/>
      <c r="C243" s="101"/>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customHeight="1" spans="1:40">
      <c r="A244" s="101"/>
      <c r="B244" s="7"/>
      <c r="C244" s="101"/>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customHeight="1" spans="1:40">
      <c r="A245" s="101"/>
      <c r="B245" s="7"/>
      <c r="C245" s="101"/>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customHeight="1" spans="1:40">
      <c r="A246" s="101"/>
      <c r="B246" s="7"/>
      <c r="C246" s="101"/>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customHeight="1" spans="1:40">
      <c r="A247" s="101"/>
      <c r="B247" s="7"/>
      <c r="C247" s="101"/>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customHeight="1" spans="1:40">
      <c r="A248" s="101"/>
      <c r="B248" s="7"/>
      <c r="C248" s="101"/>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customHeight="1" spans="1:40">
      <c r="A249" s="101"/>
      <c r="B249" s="7"/>
      <c r="C249" s="101"/>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customHeight="1" spans="1:40">
      <c r="A250" s="101"/>
      <c r="B250" s="7"/>
      <c r="C250" s="101"/>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customHeight="1" spans="1:40">
      <c r="A251" s="101"/>
      <c r="B251" s="7"/>
      <c r="C251" s="101"/>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customHeight="1" spans="1:40">
      <c r="A252" s="101"/>
      <c r="B252" s="7"/>
      <c r="C252" s="101"/>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customHeight="1" spans="1:40">
      <c r="A253" s="101"/>
      <c r="B253" s="7"/>
      <c r="C253" s="101"/>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customHeight="1" spans="1:40">
      <c r="A254" s="101"/>
      <c r="B254" s="7"/>
      <c r="C254" s="101"/>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customHeight="1" spans="1:40">
      <c r="A255" s="101"/>
      <c r="B255" s="7"/>
      <c r="C255" s="101"/>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customHeight="1" spans="1:40">
      <c r="A256" s="101"/>
      <c r="B256" s="7"/>
      <c r="C256" s="101"/>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customHeight="1" spans="1:40">
      <c r="A257" s="101"/>
      <c r="B257" s="7"/>
      <c r="C257" s="101"/>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customHeight="1" spans="1:40">
      <c r="A258" s="101"/>
      <c r="B258" s="7"/>
      <c r="C258" s="101"/>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customHeight="1" spans="1:40">
      <c r="A259" s="101"/>
      <c r="B259" s="7"/>
      <c r="C259" s="101"/>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customHeight="1" spans="1:40">
      <c r="A260" s="101"/>
      <c r="B260" s="7"/>
      <c r="C260" s="101"/>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customHeight="1" spans="1:40">
      <c r="A261" s="101"/>
      <c r="B261" s="7"/>
      <c r="C261" s="101"/>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customHeight="1" spans="1:40">
      <c r="A262" s="101"/>
      <c r="B262" s="7"/>
      <c r="C262" s="101"/>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customHeight="1" spans="1:40">
      <c r="A263" s="101"/>
      <c r="B263" s="7"/>
      <c r="C263" s="101"/>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customHeight="1" spans="1:40">
      <c r="A264" s="101"/>
      <c r="B264" s="7"/>
      <c r="C264" s="101"/>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customHeight="1" spans="1:40">
      <c r="A265" s="101"/>
      <c r="B265" s="7"/>
      <c r="C265" s="101"/>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customHeight="1" spans="1:40">
      <c r="A266" s="101"/>
      <c r="B266" s="7"/>
      <c r="C266" s="101"/>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customHeight="1" spans="1:40">
      <c r="A267" s="101"/>
      <c r="B267" s="7"/>
      <c r="C267" s="101"/>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customHeight="1" spans="1:40">
      <c r="A268" s="101"/>
      <c r="B268" s="7"/>
      <c r="C268" s="101"/>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customHeight="1" spans="1:40">
      <c r="A269" s="101"/>
      <c r="B269" s="7"/>
      <c r="C269" s="101"/>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customHeight="1" spans="1:40">
      <c r="A270" s="101"/>
      <c r="B270" s="7"/>
      <c r="C270" s="101"/>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customHeight="1" spans="1:40">
      <c r="A271" s="101"/>
      <c r="B271" s="7"/>
      <c r="C271" s="101"/>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customHeight="1" spans="1:40">
      <c r="A272" s="101"/>
      <c r="B272" s="7"/>
      <c r="C272" s="101"/>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row>
    <row r="273" customHeight="1" spans="1:40">
      <c r="A273" s="101"/>
      <c r="B273" s="7"/>
      <c r="C273" s="101"/>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row>
    <row r="274" customHeight="1" spans="1:40">
      <c r="A274" s="101"/>
      <c r="B274" s="7"/>
      <c r="C274" s="101"/>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row>
    <row r="275" customHeight="1" spans="1:40">
      <c r="A275" s="101"/>
      <c r="B275" s="7"/>
      <c r="C275" s="101"/>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row>
    <row r="276" customHeight="1" spans="1:40">
      <c r="A276" s="101"/>
      <c r="B276" s="7"/>
      <c r="C276" s="101"/>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row>
    <row r="277" customHeight="1" spans="1:40">
      <c r="A277" s="101"/>
      <c r="B277" s="7"/>
      <c r="C277" s="101"/>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row>
    <row r="278" customHeight="1" spans="1:40">
      <c r="A278" s="101"/>
      <c r="B278" s="7"/>
      <c r="C278" s="101"/>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row>
    <row r="279" customHeight="1" spans="1:40">
      <c r="A279" s="101"/>
      <c r="B279" s="7"/>
      <c r="C279" s="101"/>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row>
    <row r="280" customHeight="1" spans="1:40">
      <c r="A280" s="101"/>
      <c r="B280" s="7"/>
      <c r="C280" s="101"/>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row>
    <row r="281" customHeight="1" spans="1:40">
      <c r="A281" s="101"/>
      <c r="B281" s="7"/>
      <c r="C281" s="101"/>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row>
    <row r="282" customHeight="1" spans="1:40">
      <c r="A282" s="101"/>
      <c r="B282" s="7"/>
      <c r="C282" s="101"/>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row>
    <row r="283" customHeight="1" spans="1:40">
      <c r="A283" s="101"/>
      <c r="B283" s="7"/>
      <c r="C283" s="101"/>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row>
    <row r="284" customHeight="1" spans="1:40">
      <c r="A284" s="101"/>
      <c r="B284" s="7"/>
      <c r="C284" s="101"/>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row>
    <row r="285" customHeight="1" spans="1:40">
      <c r="A285" s="101"/>
      <c r="B285" s="7"/>
      <c r="C285" s="101"/>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row>
    <row r="286" customHeight="1" spans="1:40">
      <c r="A286" s="101"/>
      <c r="B286" s="7"/>
      <c r="C286" s="101"/>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row>
    <row r="287" customHeight="1" spans="1:40">
      <c r="A287" s="101"/>
      <c r="B287" s="7"/>
      <c r="C287" s="101"/>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row>
    <row r="288" customHeight="1" spans="1:40">
      <c r="A288" s="101"/>
      <c r="B288" s="7"/>
      <c r="C288" s="101"/>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row>
    <row r="289" customHeight="1" spans="1:40">
      <c r="A289" s="101"/>
      <c r="B289" s="7"/>
      <c r="C289" s="101"/>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row>
    <row r="290" customHeight="1" spans="1:40">
      <c r="A290" s="101"/>
      <c r="B290" s="7"/>
      <c r="C290" s="101"/>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row>
    <row r="291" customHeight="1" spans="1:40">
      <c r="A291" s="101"/>
      <c r="B291" s="7"/>
      <c r="C291" s="101"/>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row>
    <row r="292" customHeight="1" spans="1:40">
      <c r="A292" s="101"/>
      <c r="B292" s="7"/>
      <c r="C292" s="101"/>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row>
    <row r="293" customHeight="1" spans="1:40">
      <c r="A293" s="101"/>
      <c r="B293" s="7"/>
      <c r="C293" s="101"/>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row>
    <row r="294" customHeight="1" spans="1:40">
      <c r="A294" s="101"/>
      <c r="B294" s="7"/>
      <c r="C294" s="101"/>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row>
    <row r="295" customHeight="1" spans="1:40">
      <c r="A295" s="101"/>
      <c r="B295" s="7"/>
      <c r="C295" s="101"/>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row>
    <row r="296" customHeight="1" spans="1:40">
      <c r="A296" s="101"/>
      <c r="B296" s="7"/>
      <c r="C296" s="101"/>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row>
    <row r="297" customHeight="1" spans="1:40">
      <c r="A297" s="101"/>
      <c r="B297" s="7"/>
      <c r="C297" s="101"/>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row>
    <row r="298" customHeight="1" spans="1:40">
      <c r="A298" s="101"/>
      <c r="B298" s="7"/>
      <c r="C298" s="101"/>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row>
    <row r="299" customHeight="1" spans="1:40">
      <c r="A299" s="101"/>
      <c r="B299" s="7"/>
      <c r="C299" s="101"/>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row>
    <row r="300" customHeight="1" spans="1:40">
      <c r="A300" s="101"/>
      <c r="B300" s="7"/>
      <c r="C300" s="101"/>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row>
    <row r="301" customHeight="1" spans="1:40">
      <c r="A301" s="101"/>
      <c r="B301" s="7"/>
      <c r="C301" s="101"/>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row>
    <row r="302" customHeight="1" spans="1:40">
      <c r="A302" s="101"/>
      <c r="B302" s="7"/>
      <c r="C302" s="101"/>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row>
    <row r="303" customHeight="1" spans="1:40">
      <c r="A303" s="101"/>
      <c r="B303" s="7"/>
      <c r="C303" s="101"/>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row>
    <row r="304" customHeight="1" spans="1:40">
      <c r="A304" s="101"/>
      <c r="B304" s="7"/>
      <c r="C304" s="101"/>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row>
    <row r="305" customHeight="1" spans="1:40">
      <c r="A305" s="101"/>
      <c r="B305" s="7"/>
      <c r="C305" s="101"/>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row>
    <row r="306" customHeight="1" spans="1:40">
      <c r="A306" s="101"/>
      <c r="B306" s="7"/>
      <c r="C306" s="101"/>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row>
    <row r="307" customHeight="1" spans="1:40">
      <c r="A307" s="101"/>
      <c r="B307" s="7"/>
      <c r="C307" s="101"/>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row>
    <row r="308" customHeight="1" spans="1:40">
      <c r="A308" s="101"/>
      <c r="B308" s="7"/>
      <c r="C308" s="101"/>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row>
    <row r="309" customHeight="1" spans="1:40">
      <c r="A309" s="101"/>
      <c r="B309" s="7"/>
      <c r="C309" s="101"/>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row>
    <row r="310" customHeight="1" spans="1:40">
      <c r="A310" s="101"/>
      <c r="B310" s="7"/>
      <c r="C310" s="101"/>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row>
    <row r="311" customHeight="1" spans="1:40">
      <c r="A311" s="101"/>
      <c r="B311" s="7"/>
      <c r="C311" s="101"/>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row>
    <row r="312" customHeight="1" spans="1:40">
      <c r="A312" s="101"/>
      <c r="B312" s="7"/>
      <c r="C312" s="101"/>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row>
    <row r="313" customHeight="1" spans="1:40">
      <c r="A313" s="101"/>
      <c r="B313" s="7"/>
      <c r="C313" s="101"/>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row>
    <row r="314" customHeight="1" spans="1:40">
      <c r="A314" s="101"/>
      <c r="B314" s="7"/>
      <c r="C314" s="101"/>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row>
    <row r="315" customHeight="1" spans="1:40">
      <c r="A315" s="101"/>
      <c r="B315" s="7"/>
      <c r="C315" s="101"/>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row>
    <row r="316" customHeight="1" spans="1:40">
      <c r="A316" s="101"/>
      <c r="B316" s="7"/>
      <c r="C316" s="101"/>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row>
    <row r="317" customHeight="1" spans="1:40">
      <c r="A317" s="101"/>
      <c r="B317" s="7"/>
      <c r="C317" s="101"/>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row>
    <row r="318" customHeight="1" spans="1:40">
      <c r="A318" s="101"/>
      <c r="B318" s="7"/>
      <c r="C318" s="101"/>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row>
    <row r="319" customHeight="1" spans="1:40">
      <c r="A319" s="101"/>
      <c r="B319" s="7"/>
      <c r="C319" s="101"/>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row>
    <row r="320" customHeight="1" spans="1:40">
      <c r="A320" s="101"/>
      <c r="B320" s="7"/>
      <c r="C320" s="101"/>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row>
    <row r="321" customHeight="1" spans="1:40">
      <c r="A321" s="101"/>
      <c r="B321" s="7"/>
      <c r="C321" s="101"/>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row>
    <row r="322" customHeight="1" spans="1:40">
      <c r="A322" s="101"/>
      <c r="B322" s="7"/>
      <c r="C322" s="101"/>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row>
    <row r="323" customHeight="1" spans="1:40">
      <c r="A323" s="101"/>
      <c r="B323" s="7"/>
      <c r="C323" s="101"/>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row>
    <row r="324" customHeight="1" spans="1:40">
      <c r="A324" s="101"/>
      <c r="B324" s="7"/>
      <c r="C324" s="101"/>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row>
    <row r="325" customHeight="1" spans="1:40">
      <c r="A325" s="101"/>
      <c r="B325" s="7"/>
      <c r="C325" s="101"/>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row>
    <row r="326" customHeight="1" spans="1:40">
      <c r="A326" s="101"/>
      <c r="B326" s="7"/>
      <c r="C326" s="101"/>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row>
    <row r="327" customHeight="1" spans="1:40">
      <c r="A327" s="101"/>
      <c r="B327" s="7"/>
      <c r="C327" s="101"/>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row>
    <row r="328" customHeight="1" spans="1:40">
      <c r="A328" s="101"/>
      <c r="B328" s="7"/>
      <c r="C328" s="101"/>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row>
    <row r="329" customHeight="1" spans="1:40">
      <c r="A329" s="101"/>
      <c r="B329" s="7"/>
      <c r="C329" s="101"/>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row>
    <row r="330" customHeight="1" spans="1:40">
      <c r="A330" s="101"/>
      <c r="B330" s="7"/>
      <c r="C330" s="101"/>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row>
    <row r="331" customHeight="1" spans="1:40">
      <c r="A331" s="101"/>
      <c r="B331" s="7"/>
      <c r="C331" s="101"/>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row>
    <row r="332" customHeight="1" spans="1:40">
      <c r="A332" s="101"/>
      <c r="B332" s="7"/>
      <c r="C332" s="101"/>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row>
    <row r="333" customHeight="1" spans="1:40">
      <c r="A333" s="101"/>
      <c r="B333" s="7"/>
      <c r="C333" s="101"/>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row>
    <row r="334" customHeight="1" spans="1:40">
      <c r="A334" s="101"/>
      <c r="B334" s="7"/>
      <c r="C334" s="101"/>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row>
    <row r="335" customHeight="1" spans="1:40">
      <c r="A335" s="101"/>
      <c r="B335" s="7"/>
      <c r="C335" s="101"/>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row>
    <row r="336" customHeight="1" spans="1:40">
      <c r="A336" s="101"/>
      <c r="B336" s="7"/>
      <c r="C336" s="101"/>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row>
    <row r="337" customHeight="1" spans="1:40">
      <c r="A337" s="101"/>
      <c r="B337" s="7"/>
      <c r="C337" s="101"/>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row>
    <row r="338" customHeight="1" spans="1:40">
      <c r="A338" s="101"/>
      <c r="B338" s="7"/>
      <c r="C338" s="101"/>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row>
    <row r="339" customHeight="1" spans="1:40">
      <c r="A339" s="101"/>
      <c r="B339" s="7"/>
      <c r="C339" s="101"/>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row>
    <row r="340" customHeight="1" spans="1:40">
      <c r="A340" s="101"/>
      <c r="B340" s="7"/>
      <c r="C340" s="101"/>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row>
    <row r="341" customHeight="1" spans="1:40">
      <c r="A341" s="101"/>
      <c r="B341" s="7"/>
      <c r="C341" s="101"/>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row>
    <row r="342" customHeight="1" spans="1:40">
      <c r="A342" s="101"/>
      <c r="B342" s="7"/>
      <c r="C342" s="101"/>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row>
    <row r="343" customHeight="1" spans="1:40">
      <c r="A343" s="101"/>
      <c r="B343" s="7"/>
      <c r="C343" s="101"/>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row>
    <row r="344" customHeight="1" spans="1:40">
      <c r="A344" s="101"/>
      <c r="B344" s="7"/>
      <c r="C344" s="101"/>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row>
    <row r="345" customHeight="1" spans="1:40">
      <c r="A345" s="101"/>
      <c r="B345" s="7"/>
      <c r="C345" s="101"/>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row>
    <row r="346" customHeight="1" spans="1:40">
      <c r="A346" s="101"/>
      <c r="B346" s="7"/>
      <c r="C346" s="101"/>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row>
    <row r="347" customHeight="1" spans="1:40">
      <c r="A347" s="101"/>
      <c r="B347" s="7"/>
      <c r="C347" s="101"/>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row>
    <row r="348" customHeight="1" spans="1:40">
      <c r="A348" s="101"/>
      <c r="B348" s="7"/>
      <c r="C348" s="101"/>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row>
    <row r="349" customHeight="1" spans="1:40">
      <c r="A349" s="101"/>
      <c r="B349" s="7"/>
      <c r="C349" s="101"/>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row>
    <row r="350" customHeight="1" spans="1:40">
      <c r="A350" s="101"/>
      <c r="B350" s="7"/>
      <c r="C350" s="101"/>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row>
    <row r="351" customHeight="1" spans="1:40">
      <c r="A351" s="101"/>
      <c r="B351" s="7"/>
      <c r="C351" s="101"/>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row>
    <row r="352" customHeight="1" spans="1:40">
      <c r="A352" s="101"/>
      <c r="B352" s="7"/>
      <c r="C352" s="101"/>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row>
    <row r="353" customHeight="1" spans="1:40">
      <c r="A353" s="101"/>
      <c r="B353" s="7"/>
      <c r="C353" s="101"/>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row>
    <row r="354" customHeight="1" spans="1:40">
      <c r="A354" s="101"/>
      <c r="B354" s="7"/>
      <c r="C354" s="101"/>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row>
    <row r="355" customHeight="1" spans="1:40">
      <c r="A355" s="101"/>
      <c r="B355" s="7"/>
      <c r="C355" s="101"/>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row>
    <row r="356" customHeight="1" spans="1:40">
      <c r="A356" s="101"/>
      <c r="B356" s="7"/>
      <c r="C356" s="101"/>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row>
    <row r="357" customHeight="1" spans="1:40">
      <c r="A357" s="101"/>
      <c r="B357" s="7"/>
      <c r="C357" s="101"/>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row>
    <row r="358" customHeight="1" spans="1:40">
      <c r="A358" s="101"/>
      <c r="B358" s="7"/>
      <c r="C358" s="101"/>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row>
    <row r="359" customHeight="1" spans="1:40">
      <c r="A359" s="101"/>
      <c r="B359" s="7"/>
      <c r="C359" s="101"/>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row>
    <row r="360" customHeight="1" spans="1:40">
      <c r="A360" s="101"/>
      <c r="B360" s="7"/>
      <c r="C360" s="101"/>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row>
    <row r="361" customHeight="1" spans="1:40">
      <c r="A361" s="101"/>
      <c r="B361" s="7"/>
      <c r="C361" s="101"/>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row>
    <row r="362" customHeight="1" spans="1:40">
      <c r="A362" s="101"/>
      <c r="B362" s="7"/>
      <c r="C362" s="101"/>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row>
    <row r="363" customHeight="1" spans="1:40">
      <c r="A363" s="101"/>
      <c r="B363" s="7"/>
      <c r="C363" s="101"/>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row>
    <row r="364" customHeight="1" spans="1:40">
      <c r="A364" s="101"/>
      <c r="B364" s="7"/>
      <c r="C364" s="101"/>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row>
    <row r="365" customHeight="1" spans="1:40">
      <c r="A365" s="101"/>
      <c r="B365" s="7"/>
      <c r="C365" s="101"/>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row>
    <row r="366" customHeight="1" spans="1:40">
      <c r="A366" s="101"/>
      <c r="B366" s="7"/>
      <c r="C366" s="101"/>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row>
    <row r="367" customHeight="1" spans="1:40">
      <c r="A367" s="101"/>
      <c r="B367" s="7"/>
      <c r="C367" s="101"/>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row>
    <row r="368" customHeight="1" spans="1:40">
      <c r="A368" s="101"/>
      <c r="B368" s="7"/>
      <c r="C368" s="101"/>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row>
    <row r="369" customHeight="1" spans="1:40">
      <c r="A369" s="101"/>
      <c r="B369" s="7"/>
      <c r="C369" s="101"/>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row>
    <row r="370" customHeight="1" spans="1:40">
      <c r="A370" s="101"/>
      <c r="B370" s="7"/>
      <c r="C370" s="101"/>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row>
    <row r="371" customHeight="1" spans="1:40">
      <c r="A371" s="101"/>
      <c r="B371" s="7"/>
      <c r="C371" s="101"/>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row>
    <row r="372" customHeight="1" spans="1:40">
      <c r="A372" s="101"/>
      <c r="B372" s="7"/>
      <c r="C372" s="101"/>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row>
    <row r="373" customHeight="1" spans="1:40">
      <c r="A373" s="101"/>
      <c r="B373" s="7"/>
      <c r="C373" s="101"/>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row>
    <row r="374" customHeight="1" spans="1:40">
      <c r="A374" s="101"/>
      <c r="B374" s="7"/>
      <c r="C374" s="101"/>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row>
    <row r="375" customHeight="1" spans="1:40">
      <c r="A375" s="101"/>
      <c r="B375" s="7"/>
      <c r="C375" s="101"/>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row>
    <row r="376" customHeight="1" spans="1:40">
      <c r="A376" s="101"/>
      <c r="B376" s="7"/>
      <c r="C376" s="101"/>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row>
    <row r="377" customHeight="1" spans="1:40">
      <c r="A377" s="101"/>
      <c r="B377" s="7"/>
      <c r="C377" s="101"/>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row>
    <row r="378" customHeight="1" spans="1:40">
      <c r="A378" s="101"/>
      <c r="B378" s="7"/>
      <c r="C378" s="101"/>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row>
    <row r="379" customHeight="1" spans="1:40">
      <c r="A379" s="101"/>
      <c r="B379" s="7"/>
      <c r="C379" s="101"/>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row>
    <row r="380" customHeight="1" spans="1:40">
      <c r="A380" s="101"/>
      <c r="B380" s="7"/>
      <c r="C380" s="101"/>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row>
    <row r="381" customHeight="1" spans="1:40">
      <c r="A381" s="101"/>
      <c r="B381" s="7"/>
      <c r="C381" s="101"/>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row>
    <row r="382" customHeight="1" spans="1:40">
      <c r="A382" s="101"/>
      <c r="B382" s="7"/>
      <c r="C382" s="101"/>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row>
    <row r="383" customHeight="1" spans="1:40">
      <c r="A383" s="101"/>
      <c r="B383" s="7"/>
      <c r="C383" s="101"/>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row>
    <row r="384" customHeight="1" spans="1:40">
      <c r="A384" s="101"/>
      <c r="B384" s="7"/>
      <c r="C384" s="101"/>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row>
    <row r="385" customHeight="1" spans="1:40">
      <c r="A385" s="101"/>
      <c r="B385" s="7"/>
      <c r="C385" s="101"/>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row>
    <row r="386" customHeight="1" spans="1:40">
      <c r="A386" s="101"/>
      <c r="B386" s="7"/>
      <c r="C386" s="101"/>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row>
    <row r="387" customHeight="1" spans="1:40">
      <c r="A387" s="101"/>
      <c r="B387" s="7"/>
      <c r="C387" s="101"/>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row>
    <row r="388" customHeight="1" spans="1:40">
      <c r="A388" s="101"/>
      <c r="B388" s="7"/>
      <c r="C388" s="101"/>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row>
    <row r="389" customHeight="1" spans="1:40">
      <c r="A389" s="101"/>
      <c r="B389" s="7"/>
      <c r="C389" s="101"/>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row>
    <row r="390" customHeight="1" spans="1:40">
      <c r="A390" s="101"/>
      <c r="B390" s="7"/>
      <c r="C390" s="101"/>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row>
    <row r="391" customHeight="1" spans="1:40">
      <c r="A391" s="101"/>
      <c r="B391" s="7"/>
      <c r="C391" s="101"/>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row>
    <row r="392" customHeight="1" spans="1:40">
      <c r="A392" s="101"/>
      <c r="B392" s="7"/>
      <c r="C392" s="101"/>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row>
    <row r="393" customHeight="1" spans="1:40">
      <c r="A393" s="101"/>
      <c r="B393" s="7"/>
      <c r="C393" s="101"/>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row>
    <row r="394" customHeight="1" spans="1:40">
      <c r="A394" s="101"/>
      <c r="B394" s="7"/>
      <c r="C394" s="101"/>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row>
    <row r="395" customHeight="1" spans="1:40">
      <c r="A395" s="101"/>
      <c r="B395" s="7"/>
      <c r="C395" s="101"/>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row>
    <row r="396" customHeight="1" spans="1:40">
      <c r="A396" s="101"/>
      <c r="B396" s="7"/>
      <c r="C396" s="101"/>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row>
    <row r="397" customHeight="1" spans="1:40">
      <c r="A397" s="101"/>
      <c r="B397" s="7"/>
      <c r="C397" s="101"/>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row>
    <row r="398" customHeight="1" spans="1:40">
      <c r="A398" s="101"/>
      <c r="B398" s="7"/>
      <c r="C398" s="101"/>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row>
    <row r="399" customHeight="1" spans="1:40">
      <c r="A399" s="101"/>
      <c r="B399" s="7"/>
      <c r="C399" s="101"/>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row>
    <row r="400" customHeight="1" spans="1:40">
      <c r="A400" s="101"/>
      <c r="B400" s="7"/>
      <c r="C400" s="101"/>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row>
    <row r="401" customHeight="1" spans="1:40">
      <c r="A401" s="101"/>
      <c r="B401" s="7"/>
      <c r="C401" s="101"/>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row>
    <row r="402" customHeight="1" spans="1:40">
      <c r="A402" s="101"/>
      <c r="B402" s="7"/>
      <c r="C402" s="101"/>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row>
    <row r="403" customHeight="1" spans="1:40">
      <c r="A403" s="101"/>
      <c r="B403" s="7"/>
      <c r="C403" s="101"/>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row>
    <row r="404" customHeight="1" spans="1:40">
      <c r="A404" s="101"/>
      <c r="B404" s="7"/>
      <c r="C404" s="101"/>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row>
    <row r="405" customHeight="1" spans="1:40">
      <c r="A405" s="101"/>
      <c r="B405" s="7"/>
      <c r="C405" s="101"/>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row>
    <row r="406" customHeight="1" spans="1:40">
      <c r="A406" s="101"/>
      <c r="B406" s="7"/>
      <c r="C406" s="101"/>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row>
    <row r="407" customHeight="1" spans="1:40">
      <c r="A407" s="101"/>
      <c r="B407" s="7"/>
      <c r="C407" s="101"/>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row>
    <row r="408" customHeight="1" spans="1:40">
      <c r="A408" s="101"/>
      <c r="B408" s="7"/>
      <c r="C408" s="101"/>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row>
    <row r="409" customHeight="1" spans="1:40">
      <c r="A409" s="101"/>
      <c r="B409" s="7"/>
      <c r="C409" s="101"/>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row>
    <row r="410" customHeight="1" spans="1:40">
      <c r="A410" s="101"/>
      <c r="B410" s="7"/>
      <c r="C410" s="101"/>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row>
    <row r="411" customHeight="1" spans="1:40">
      <c r="A411" s="101"/>
      <c r="B411" s="7"/>
      <c r="C411" s="101"/>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row>
    <row r="412" customHeight="1" spans="1:40">
      <c r="A412" s="101"/>
      <c r="B412" s="7"/>
      <c r="C412" s="101"/>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row>
    <row r="413" customHeight="1" spans="1:40">
      <c r="A413" s="101"/>
      <c r="B413" s="7"/>
      <c r="C413" s="101"/>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row>
    <row r="414" customHeight="1" spans="1:40">
      <c r="A414" s="101"/>
      <c r="B414" s="7"/>
      <c r="C414" s="101"/>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row>
    <row r="415" customHeight="1" spans="1:40">
      <c r="A415" s="101"/>
      <c r="B415" s="7"/>
      <c r="C415" s="101"/>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row>
    <row r="416" customHeight="1" spans="1:40">
      <c r="A416" s="101"/>
      <c r="B416" s="7"/>
      <c r="C416" s="101"/>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row>
    <row r="417" customHeight="1" spans="1:40">
      <c r="A417" s="101"/>
      <c r="B417" s="7"/>
      <c r="C417" s="101"/>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row>
    <row r="418" customHeight="1" spans="1:40">
      <c r="A418" s="101"/>
      <c r="B418" s="7"/>
      <c r="C418" s="101"/>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row>
    <row r="419" customHeight="1" spans="1:40">
      <c r="A419" s="101"/>
      <c r="B419" s="7"/>
      <c r="C419" s="101"/>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row>
    <row r="420" customHeight="1" spans="1:40">
      <c r="A420" s="101"/>
      <c r="B420" s="7"/>
      <c r="C420" s="101"/>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row>
    <row r="421" customHeight="1" spans="1:40">
      <c r="A421" s="101"/>
      <c r="B421" s="7"/>
      <c r="C421" s="101"/>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row>
    <row r="422" customHeight="1" spans="1:40">
      <c r="A422" s="101"/>
      <c r="B422" s="7"/>
      <c r="C422" s="101"/>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row>
    <row r="423" customHeight="1" spans="1:40">
      <c r="A423" s="101"/>
      <c r="B423" s="7"/>
      <c r="C423" s="101"/>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row>
    <row r="424" customHeight="1" spans="1:40">
      <c r="A424" s="101"/>
      <c r="B424" s="7"/>
      <c r="C424" s="101"/>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row>
    <row r="425" customHeight="1" spans="1:40">
      <c r="A425" s="101"/>
      <c r="B425" s="7"/>
      <c r="C425" s="101"/>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row>
    <row r="426" customHeight="1" spans="1:40">
      <c r="A426" s="101"/>
      <c r="B426" s="7"/>
      <c r="C426" s="101"/>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row>
    <row r="427" customHeight="1" spans="1:40">
      <c r="A427" s="101"/>
      <c r="B427" s="7"/>
      <c r="C427" s="101"/>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row>
    <row r="428" customHeight="1" spans="1:40">
      <c r="A428" s="101"/>
      <c r="B428" s="7"/>
      <c r="C428" s="101"/>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row>
    <row r="429" customHeight="1" spans="1:40">
      <c r="A429" s="101"/>
      <c r="B429" s="7"/>
      <c r="C429" s="101"/>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row>
    <row r="430" customHeight="1" spans="1:40">
      <c r="A430" s="101"/>
      <c r="B430" s="7"/>
      <c r="C430" s="101"/>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row>
    <row r="431" customHeight="1" spans="1:40">
      <c r="A431" s="101"/>
      <c r="B431" s="7"/>
      <c r="C431" s="101"/>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row>
    <row r="432" customHeight="1" spans="1:40">
      <c r="A432" s="101"/>
      <c r="B432" s="7"/>
      <c r="C432" s="101"/>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row>
    <row r="433" customHeight="1" spans="1:40">
      <c r="A433" s="101"/>
      <c r="B433" s="7"/>
      <c r="C433" s="101"/>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row>
    <row r="434" customHeight="1" spans="1:40">
      <c r="A434" s="101"/>
      <c r="B434" s="7"/>
      <c r="C434" s="101"/>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row>
    <row r="435" customHeight="1" spans="1:40">
      <c r="A435" s="101"/>
      <c r="B435" s="7"/>
      <c r="C435" s="101"/>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row>
    <row r="436" customHeight="1" spans="1:40">
      <c r="A436" s="101"/>
      <c r="B436" s="7"/>
      <c r="C436" s="101"/>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row>
    <row r="437" customHeight="1" spans="1:40">
      <c r="A437" s="101"/>
      <c r="B437" s="7"/>
      <c r="C437" s="101"/>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row>
    <row r="438" customHeight="1" spans="1:40">
      <c r="A438" s="101"/>
      <c r="B438" s="7"/>
      <c r="C438" s="101"/>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row>
    <row r="439" customHeight="1" spans="1:40">
      <c r="A439" s="101"/>
      <c r="B439" s="7"/>
      <c r="C439" s="101"/>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row>
    <row r="440" customHeight="1" spans="1:40">
      <c r="A440" s="101"/>
      <c r="B440" s="7"/>
      <c r="C440" s="101"/>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row>
    <row r="441" customHeight="1" spans="1:40">
      <c r="A441" s="101"/>
      <c r="B441" s="7"/>
      <c r="C441" s="101"/>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row>
    <row r="442" customHeight="1" spans="1:40">
      <c r="A442" s="101"/>
      <c r="B442" s="7"/>
      <c r="C442" s="101"/>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row>
    <row r="443" customHeight="1" spans="1:40">
      <c r="A443" s="101"/>
      <c r="B443" s="7"/>
      <c r="C443" s="101"/>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row>
    <row r="444" customHeight="1" spans="1:40">
      <c r="A444" s="101"/>
      <c r="B444" s="7"/>
      <c r="C444" s="101"/>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row>
    <row r="445" customHeight="1" spans="1:40">
      <c r="A445" s="101"/>
      <c r="B445" s="7"/>
      <c r="C445" s="101"/>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row>
    <row r="446" customHeight="1" spans="1:40">
      <c r="A446" s="101"/>
      <c r="B446" s="7"/>
      <c r="C446" s="101"/>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row>
    <row r="447" customHeight="1" spans="1:40">
      <c r="A447" s="101"/>
      <c r="B447" s="7"/>
      <c r="C447" s="101"/>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row>
    <row r="448" customHeight="1" spans="1:40">
      <c r="A448" s="101"/>
      <c r="B448" s="7"/>
      <c r="C448" s="101"/>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row>
    <row r="449" customHeight="1" spans="1:40">
      <c r="A449" s="101"/>
      <c r="B449" s="7"/>
      <c r="C449" s="101"/>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row>
    <row r="450" customHeight="1" spans="1:40">
      <c r="A450" s="101"/>
      <c r="B450" s="7"/>
      <c r="C450" s="101"/>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row>
    <row r="451" customHeight="1" spans="1:40">
      <c r="A451" s="101"/>
      <c r="B451" s="7"/>
      <c r="C451" s="101"/>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row>
    <row r="452" customHeight="1" spans="1:40">
      <c r="A452" s="101"/>
      <c r="B452" s="7"/>
      <c r="C452" s="101"/>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row>
    <row r="453" customHeight="1" spans="1:40">
      <c r="A453" s="101"/>
      <c r="B453" s="7"/>
      <c r="C453" s="101"/>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row>
    <row r="454" customHeight="1" spans="1:40">
      <c r="A454" s="101"/>
      <c r="B454" s="7"/>
      <c r="C454" s="101"/>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row>
    <row r="455" customHeight="1" spans="1:40">
      <c r="A455" s="101"/>
      <c r="B455" s="7"/>
      <c r="C455" s="101"/>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row>
    <row r="456" customHeight="1" spans="1:40">
      <c r="A456" s="101"/>
      <c r="B456" s="7"/>
      <c r="C456" s="101"/>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row>
    <row r="457" customHeight="1" spans="1:40">
      <c r="A457" s="101"/>
      <c r="B457" s="7"/>
      <c r="C457" s="101"/>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row>
    <row r="458" customHeight="1" spans="1:40">
      <c r="A458" s="101"/>
      <c r="B458" s="7"/>
      <c r="C458" s="101"/>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row>
    <row r="459" customHeight="1" spans="1:40">
      <c r="A459" s="101"/>
      <c r="B459" s="7"/>
      <c r="C459" s="101"/>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row>
    <row r="460" customHeight="1" spans="1:40">
      <c r="A460" s="101"/>
      <c r="B460" s="7"/>
      <c r="C460" s="101"/>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row>
    <row r="461" customHeight="1" spans="1:40">
      <c r="A461" s="101"/>
      <c r="B461" s="7"/>
      <c r="C461" s="101"/>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row>
    <row r="462" customHeight="1" spans="1:40">
      <c r="A462" s="101"/>
      <c r="B462" s="7"/>
      <c r="C462" s="101"/>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row>
    <row r="463" customHeight="1" spans="1:40">
      <c r="A463" s="101"/>
      <c r="B463" s="7"/>
      <c r="C463" s="101"/>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row>
    <row r="464" customHeight="1" spans="1:40">
      <c r="A464" s="101"/>
      <c r="B464" s="7"/>
      <c r="C464" s="101"/>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row>
    <row r="465" customHeight="1" spans="1:40">
      <c r="A465" s="101"/>
      <c r="B465" s="7"/>
      <c r="C465" s="101"/>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row>
    <row r="466" customHeight="1" spans="1:40">
      <c r="A466" s="101"/>
      <c r="B466" s="7"/>
      <c r="C466" s="101"/>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row>
    <row r="467" customHeight="1" spans="1:40">
      <c r="A467" s="101"/>
      <c r="B467" s="7"/>
      <c r="C467" s="101"/>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row>
    <row r="468" customHeight="1" spans="1:40">
      <c r="A468" s="101"/>
      <c r="B468" s="7"/>
      <c r="C468" s="101"/>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row>
    <row r="469" customHeight="1" spans="1:40">
      <c r="A469" s="101"/>
      <c r="B469" s="7"/>
      <c r="C469" s="101"/>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row>
    <row r="470" customHeight="1" spans="1:40">
      <c r="A470" s="101"/>
      <c r="B470" s="7"/>
      <c r="C470" s="101"/>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row>
    <row r="471" customHeight="1" spans="1:40">
      <c r="A471" s="101"/>
      <c r="B471" s="7"/>
      <c r="C471" s="101"/>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row>
    <row r="472" customHeight="1" spans="1:40">
      <c r="A472" s="101"/>
      <c r="B472" s="7"/>
      <c r="C472" s="101"/>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row>
    <row r="473" customHeight="1" spans="1:40">
      <c r="A473" s="101"/>
      <c r="B473" s="7"/>
      <c r="C473" s="101"/>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row>
    <row r="474" customHeight="1" spans="1:40">
      <c r="A474" s="101"/>
      <c r="B474" s="7"/>
      <c r="C474" s="101"/>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row>
    <row r="475" customHeight="1" spans="1:40">
      <c r="A475" s="101"/>
      <c r="B475" s="7"/>
      <c r="C475" s="101"/>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row>
    <row r="476" customHeight="1" spans="1:40">
      <c r="A476" s="101"/>
      <c r="B476" s="7"/>
      <c r="C476" s="101"/>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row>
    <row r="477" customHeight="1" spans="1:40">
      <c r="A477" s="101"/>
      <c r="B477" s="7"/>
      <c r="C477" s="101"/>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row>
    <row r="478" customHeight="1" spans="1:40">
      <c r="A478" s="101"/>
      <c r="B478" s="7"/>
      <c r="C478" s="101"/>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row>
    <row r="479" customHeight="1" spans="1:40">
      <c r="A479" s="101"/>
      <c r="B479" s="7"/>
      <c r="C479" s="101"/>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row>
    <row r="480" customHeight="1" spans="1:40">
      <c r="A480" s="101"/>
      <c r="B480" s="7"/>
      <c r="C480" s="101"/>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row>
    <row r="481" customHeight="1" spans="1:40">
      <c r="A481" s="101"/>
      <c r="B481" s="7"/>
      <c r="C481" s="101"/>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row>
    <row r="482" customHeight="1" spans="1:40">
      <c r="A482" s="101"/>
      <c r="B482" s="7"/>
      <c r="C482" s="101"/>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row>
    <row r="483" customHeight="1" spans="1:40">
      <c r="A483" s="101"/>
      <c r="B483" s="7"/>
      <c r="C483" s="101"/>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row>
    <row r="484" customHeight="1" spans="1:40">
      <c r="A484" s="101"/>
      <c r="B484" s="7"/>
      <c r="C484" s="101"/>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row>
    <row r="485" customHeight="1" spans="1:40">
      <c r="A485" s="101"/>
      <c r="B485" s="7"/>
      <c r="C485" s="101"/>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row>
    <row r="486" customHeight="1" spans="1:40">
      <c r="A486" s="101"/>
      <c r="B486" s="7"/>
      <c r="C486" s="101"/>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row>
    <row r="487" customHeight="1" spans="1:40">
      <c r="A487" s="101"/>
      <c r="B487" s="7"/>
      <c r="C487" s="101"/>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row>
    <row r="488" customHeight="1" spans="1:40">
      <c r="A488" s="101"/>
      <c r="B488" s="7"/>
      <c r="C488" s="101"/>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row>
    <row r="489" customHeight="1" spans="1:40">
      <c r="A489" s="101"/>
      <c r="B489" s="7"/>
      <c r="C489" s="101"/>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row>
    <row r="490" customHeight="1" spans="1:40">
      <c r="A490" s="101"/>
      <c r="B490" s="7"/>
      <c r="C490" s="101"/>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row>
    <row r="491" customHeight="1" spans="1:40">
      <c r="A491" s="101"/>
      <c r="B491" s="7"/>
      <c r="C491" s="101"/>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row>
    <row r="492" customHeight="1" spans="1:40">
      <c r="A492" s="101"/>
      <c r="B492" s="7"/>
      <c r="C492" s="101"/>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row>
    <row r="493" customHeight="1" spans="1:40">
      <c r="A493" s="101"/>
      <c r="B493" s="7"/>
      <c r="C493" s="101"/>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row>
    <row r="494" customHeight="1" spans="1:40">
      <c r="A494" s="101"/>
      <c r="B494" s="7"/>
      <c r="C494" s="101"/>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row>
    <row r="495" customHeight="1" spans="1:40">
      <c r="A495" s="101"/>
      <c r="B495" s="7"/>
      <c r="C495" s="101"/>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row>
    <row r="496" customHeight="1" spans="1:40">
      <c r="A496" s="101"/>
      <c r="B496" s="7"/>
      <c r="C496" s="101"/>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row>
    <row r="497" customHeight="1" spans="1:40">
      <c r="A497" s="101"/>
      <c r="B497" s="7"/>
      <c r="C497" s="101"/>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row>
    <row r="498" customHeight="1" spans="1:40">
      <c r="A498" s="101"/>
      <c r="B498" s="7"/>
      <c r="C498" s="101"/>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row>
    <row r="499" customHeight="1" spans="1:40">
      <c r="A499" s="101"/>
      <c r="B499" s="7"/>
      <c r="C499" s="101"/>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row>
    <row r="500" customHeight="1" spans="1:40">
      <c r="A500" s="101"/>
      <c r="B500" s="7"/>
      <c r="C500" s="101"/>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row>
    <row r="501" customHeight="1" spans="1:40">
      <c r="A501" s="101"/>
      <c r="B501" s="7"/>
      <c r="C501" s="101"/>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row>
    <row r="502" customHeight="1" spans="1:40">
      <c r="A502" s="101"/>
      <c r="B502" s="7"/>
      <c r="C502" s="101"/>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row>
    <row r="503" customHeight="1" spans="1:40">
      <c r="A503" s="101"/>
      <c r="B503" s="7"/>
      <c r="C503" s="101"/>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row>
    <row r="504" customHeight="1" spans="1:40">
      <c r="A504" s="101"/>
      <c r="B504" s="7"/>
      <c r="C504" s="101"/>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customHeight="1" spans="1:40">
      <c r="A505" s="101"/>
      <c r="B505" s="7"/>
      <c r="C505" s="101"/>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customHeight="1" spans="1:40">
      <c r="A506" s="101"/>
      <c r="B506" s="7"/>
      <c r="C506" s="101"/>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row>
    <row r="507" customHeight="1" spans="1:40">
      <c r="A507" s="101"/>
      <c r="B507" s="7"/>
      <c r="C507" s="101"/>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row>
    <row r="508" customHeight="1" spans="1:40">
      <c r="A508" s="101"/>
      <c r="B508" s="7"/>
      <c r="C508" s="101"/>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row>
    <row r="509" customHeight="1" spans="1:40">
      <c r="A509" s="101"/>
      <c r="B509" s="7"/>
      <c r="C509" s="101"/>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row>
    <row r="510" customHeight="1" spans="1:40">
      <c r="A510" s="101"/>
      <c r="B510" s="7"/>
      <c r="C510" s="101"/>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row>
    <row r="511" customHeight="1" spans="1:40">
      <c r="A511" s="101"/>
      <c r="B511" s="7"/>
      <c r="C511" s="101"/>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row>
    <row r="512" customHeight="1" spans="1:40">
      <c r="A512" s="101"/>
      <c r="B512" s="7"/>
      <c r="C512" s="101"/>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row>
    <row r="513" customHeight="1" spans="1:40">
      <c r="A513" s="101"/>
      <c r="B513" s="7"/>
      <c r="C513" s="101"/>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row>
    <row r="514" customHeight="1" spans="1:40">
      <c r="A514" s="101"/>
      <c r="B514" s="7"/>
      <c r="C514" s="101"/>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row>
    <row r="515" customHeight="1" spans="1:40">
      <c r="A515" s="101"/>
      <c r="B515" s="7"/>
      <c r="C515" s="101"/>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row>
    <row r="516" customHeight="1" spans="1:40">
      <c r="A516" s="101"/>
      <c r="B516" s="7"/>
      <c r="C516" s="101"/>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row>
    <row r="517" customHeight="1" spans="1:40">
      <c r="A517" s="101"/>
      <c r="B517" s="7"/>
      <c r="C517" s="101"/>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row>
    <row r="518" customHeight="1" spans="1:40">
      <c r="A518" s="101"/>
      <c r="B518" s="7"/>
      <c r="C518" s="101"/>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row>
    <row r="519" customHeight="1" spans="1:40">
      <c r="A519" s="101"/>
      <c r="B519" s="7"/>
      <c r="C519" s="101"/>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row>
    <row r="520" customHeight="1" spans="1:40">
      <c r="A520" s="101"/>
      <c r="B520" s="7"/>
      <c r="C520" s="101"/>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row>
    <row r="521" customHeight="1" spans="1:40">
      <c r="A521" s="101"/>
      <c r="B521" s="7"/>
      <c r="C521" s="101"/>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row>
    <row r="522" customHeight="1" spans="1:40">
      <c r="A522" s="101"/>
      <c r="B522" s="7"/>
      <c r="C522" s="101"/>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row>
    <row r="523" customHeight="1" spans="1:40">
      <c r="A523" s="101"/>
      <c r="B523" s="7"/>
      <c r="C523" s="101"/>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row>
    <row r="524" customHeight="1" spans="1:40">
      <c r="A524" s="101"/>
      <c r="B524" s="7"/>
      <c r="C524" s="101"/>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row>
    <row r="525" customHeight="1" spans="1:40">
      <c r="A525" s="101"/>
      <c r="B525" s="7"/>
      <c r="C525" s="101"/>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row>
    <row r="526" customHeight="1" spans="1:40">
      <c r="A526" s="101"/>
      <c r="B526" s="7"/>
      <c r="C526" s="101"/>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row>
    <row r="527" customHeight="1" spans="1:40">
      <c r="A527" s="101"/>
      <c r="B527" s="7"/>
      <c r="C527" s="101"/>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row>
    <row r="528" customHeight="1" spans="1:40">
      <c r="A528" s="101"/>
      <c r="B528" s="7"/>
      <c r="C528" s="101"/>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row>
    <row r="529" customHeight="1" spans="1:40">
      <c r="A529" s="101"/>
      <c r="B529" s="7"/>
      <c r="C529" s="101"/>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row>
    <row r="530" customHeight="1" spans="1:40">
      <c r="A530" s="101"/>
      <c r="B530" s="7"/>
      <c r="C530" s="101"/>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row>
    <row r="531" customHeight="1" spans="1:40">
      <c r="A531" s="101"/>
      <c r="B531" s="7"/>
      <c r="C531" s="101"/>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row>
    <row r="532" customHeight="1" spans="1:40">
      <c r="A532" s="101"/>
      <c r="B532" s="7"/>
      <c r="C532" s="101"/>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row>
    <row r="533" customHeight="1" spans="1:40">
      <c r="A533" s="101"/>
      <c r="B533" s="7"/>
      <c r="C533" s="101"/>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row>
    <row r="534" customHeight="1" spans="1:40">
      <c r="A534" s="101"/>
      <c r="B534" s="7"/>
      <c r="C534" s="101"/>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row>
    <row r="535" customHeight="1" spans="1:40">
      <c r="A535" s="101"/>
      <c r="B535" s="7"/>
      <c r="C535" s="101"/>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row>
    <row r="536" customHeight="1" spans="1:40">
      <c r="A536" s="101"/>
      <c r="B536" s="7"/>
      <c r="C536" s="101"/>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row>
    <row r="537" customHeight="1" spans="1:40">
      <c r="A537" s="101"/>
      <c r="B537" s="7"/>
      <c r="C537" s="101"/>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row>
    <row r="538" customHeight="1" spans="1:40">
      <c r="A538" s="101"/>
      <c r="B538" s="7"/>
      <c r="C538" s="101"/>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row>
    <row r="539" customHeight="1" spans="1:40">
      <c r="A539" s="101"/>
      <c r="B539" s="7"/>
      <c r="C539" s="101"/>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row>
    <row r="540" customHeight="1" spans="1:40">
      <c r="A540" s="101"/>
      <c r="B540" s="7"/>
      <c r="C540" s="101"/>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row>
    <row r="541" customHeight="1" spans="1:40">
      <c r="A541" s="101"/>
      <c r="B541" s="7"/>
      <c r="C541" s="101"/>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row>
    <row r="542" customHeight="1" spans="1:40">
      <c r="A542" s="101"/>
      <c r="B542" s="7"/>
      <c r="C542" s="101"/>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row>
    <row r="543" customHeight="1" spans="1:40">
      <c r="A543" s="101"/>
      <c r="B543" s="7"/>
      <c r="C543" s="101"/>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row>
    <row r="544" customHeight="1" spans="1:40">
      <c r="A544" s="101"/>
      <c r="B544" s="7"/>
      <c r="C544" s="101"/>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row>
    <row r="545" customHeight="1" spans="1:40">
      <c r="A545" s="101"/>
      <c r="B545" s="7"/>
      <c r="C545" s="101"/>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row>
    <row r="546" customHeight="1" spans="1:40">
      <c r="A546" s="101"/>
      <c r="B546" s="7"/>
      <c r="C546" s="101"/>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row>
    <row r="547" customHeight="1" spans="1:40">
      <c r="A547" s="101"/>
      <c r="B547" s="7"/>
      <c r="C547" s="101"/>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customHeight="1" spans="1:40">
      <c r="A548" s="101"/>
      <c r="B548" s="7"/>
      <c r="C548" s="101"/>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row>
    <row r="549" customHeight="1" spans="1:40">
      <c r="A549" s="101"/>
      <c r="B549" s="7"/>
      <c r="C549" s="101"/>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row>
    <row r="550" customHeight="1" spans="1:40">
      <c r="A550" s="101"/>
      <c r="B550" s="7"/>
      <c r="C550" s="101"/>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row>
    <row r="551" customHeight="1" spans="1:40">
      <c r="A551" s="101"/>
      <c r="B551" s="7"/>
      <c r="C551" s="101"/>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row>
    <row r="552" customHeight="1" spans="1:40">
      <c r="A552" s="101"/>
      <c r="B552" s="7"/>
      <c r="C552" s="101"/>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row>
    <row r="553" customHeight="1" spans="1:40">
      <c r="A553" s="101"/>
      <c r="B553" s="7"/>
      <c r="C553" s="101"/>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row>
    <row r="554" customHeight="1" spans="1:40">
      <c r="A554" s="101"/>
      <c r="B554" s="7"/>
      <c r="C554" s="101"/>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row>
    <row r="555" customHeight="1" spans="1:40">
      <c r="A555" s="101"/>
      <c r="B555" s="7"/>
      <c r="C555" s="101"/>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row>
    <row r="556" customHeight="1" spans="1:40">
      <c r="A556" s="101"/>
      <c r="B556" s="7"/>
      <c r="C556" s="101"/>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row>
    <row r="557" customHeight="1" spans="1:40">
      <c r="A557" s="101"/>
      <c r="B557" s="7"/>
      <c r="C557" s="101"/>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row>
    <row r="558" customHeight="1" spans="1:40">
      <c r="A558" s="101"/>
      <c r="B558" s="7"/>
      <c r="C558" s="101"/>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row>
    <row r="559" customHeight="1" spans="1:40">
      <c r="A559" s="101"/>
      <c r="B559" s="7"/>
      <c r="C559" s="101"/>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row>
    <row r="560" customHeight="1" spans="1:40">
      <c r="A560" s="101"/>
      <c r="B560" s="7"/>
      <c r="C560" s="101"/>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row>
    <row r="561" customHeight="1" spans="1:40">
      <c r="A561" s="101"/>
      <c r="B561" s="7"/>
      <c r="C561" s="101"/>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row>
    <row r="562" customHeight="1" spans="1:40">
      <c r="A562" s="101"/>
      <c r="B562" s="7"/>
      <c r="C562" s="101"/>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row>
    <row r="563" customHeight="1" spans="1:40">
      <c r="A563" s="101"/>
      <c r="B563" s="7"/>
      <c r="C563" s="101"/>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row>
    <row r="564" customHeight="1" spans="1:40">
      <c r="A564" s="101"/>
      <c r="B564" s="7"/>
      <c r="C564" s="101"/>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row>
    <row r="565" customHeight="1" spans="1:40">
      <c r="A565" s="101"/>
      <c r="B565" s="7"/>
      <c r="C565" s="101"/>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row>
    <row r="566" customHeight="1" spans="1:40">
      <c r="A566" s="101"/>
      <c r="B566" s="7"/>
      <c r="C566" s="101"/>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row>
    <row r="567" customHeight="1" spans="1:40">
      <c r="A567" s="101"/>
      <c r="B567" s="7"/>
      <c r="C567" s="101"/>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row>
    <row r="568" customHeight="1" spans="1:40">
      <c r="A568" s="101"/>
      <c r="B568" s="7"/>
      <c r="C568" s="101"/>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customHeight="1" spans="1:40">
      <c r="A569" s="101"/>
      <c r="B569" s="7"/>
      <c r="C569" s="101"/>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customHeight="1" spans="1:40">
      <c r="A570" s="101"/>
      <c r="B570" s="7"/>
      <c r="C570" s="101"/>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row>
    <row r="571" customHeight="1" spans="1:40">
      <c r="A571" s="101"/>
      <c r="B571" s="7"/>
      <c r="C571" s="101"/>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row>
    <row r="572" customHeight="1" spans="1:40">
      <c r="A572" s="101"/>
      <c r="B572" s="7"/>
      <c r="C572" s="101"/>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row>
    <row r="573" customHeight="1" spans="1:40">
      <c r="A573" s="101"/>
      <c r="B573" s="7"/>
      <c r="C573" s="101"/>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row>
    <row r="574" customHeight="1" spans="1:40">
      <c r="A574" s="101"/>
      <c r="B574" s="7"/>
      <c r="C574" s="101"/>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row>
    <row r="575" customHeight="1" spans="1:40">
      <c r="A575" s="101"/>
      <c r="B575" s="7"/>
      <c r="C575" s="101"/>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row>
    <row r="576" customHeight="1" spans="1:40">
      <c r="A576" s="101"/>
      <c r="B576" s="7"/>
      <c r="C576" s="101"/>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row>
    <row r="577" customHeight="1" spans="1:40">
      <c r="A577" s="101"/>
      <c r="B577" s="7"/>
      <c r="C577" s="101"/>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row>
    <row r="578" customHeight="1" spans="1:40">
      <c r="A578" s="101"/>
      <c r="B578" s="7"/>
      <c r="C578" s="101"/>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row>
    <row r="579" customHeight="1" spans="1:40">
      <c r="A579" s="101"/>
      <c r="B579" s="7"/>
      <c r="C579" s="101"/>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row>
    <row r="580" customHeight="1" spans="1:40">
      <c r="A580" s="101"/>
      <c r="B580" s="7"/>
      <c r="C580" s="101"/>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row>
    <row r="581" customHeight="1" spans="1:40">
      <c r="A581" s="101"/>
      <c r="B581" s="7"/>
      <c r="C581" s="101"/>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row>
    <row r="582" customHeight="1" spans="1:40">
      <c r="A582" s="101"/>
      <c r="B582" s="7"/>
      <c r="C582" s="101"/>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row>
    <row r="583" customHeight="1" spans="1:40">
      <c r="A583" s="101"/>
      <c r="B583" s="7"/>
      <c r="C583" s="101"/>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row>
    <row r="584" customHeight="1" spans="1:40">
      <c r="A584" s="101"/>
      <c r="B584" s="7"/>
      <c r="C584" s="101"/>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row>
    <row r="585" customHeight="1" spans="1:40">
      <c r="A585" s="101"/>
      <c r="B585" s="7"/>
      <c r="C585" s="101"/>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row>
    <row r="586" customHeight="1" spans="1:40">
      <c r="A586" s="101"/>
      <c r="B586" s="7"/>
      <c r="C586" s="101"/>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row>
    <row r="587" customHeight="1" spans="1:40">
      <c r="A587" s="101"/>
      <c r="B587" s="7"/>
      <c r="C587" s="101"/>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row>
    <row r="588" customHeight="1" spans="1:40">
      <c r="A588" s="101"/>
      <c r="B588" s="7"/>
      <c r="C588" s="101"/>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row>
    <row r="589" customHeight="1" spans="1:40">
      <c r="A589" s="101"/>
      <c r="B589" s="7"/>
      <c r="C589" s="101"/>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row>
    <row r="590" customHeight="1" spans="1:40">
      <c r="A590" s="101"/>
      <c r="B590" s="7"/>
      <c r="C590" s="101"/>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row>
    <row r="591" customHeight="1" spans="1:40">
      <c r="A591" s="101"/>
      <c r="B591" s="7"/>
      <c r="C591" s="101"/>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row>
    <row r="592" customHeight="1" spans="1:40">
      <c r="A592" s="101"/>
      <c r="B592" s="7"/>
      <c r="C592" s="101"/>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row>
    <row r="593" customHeight="1" spans="1:40">
      <c r="A593" s="101"/>
      <c r="B593" s="7"/>
      <c r="C593" s="101"/>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row>
    <row r="594" customHeight="1" spans="1:40">
      <c r="A594" s="101"/>
      <c r="B594" s="7"/>
      <c r="C594" s="101"/>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row>
    <row r="595" customHeight="1" spans="1:40">
      <c r="A595" s="101"/>
      <c r="B595" s="7"/>
      <c r="C595" s="101"/>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row>
    <row r="596" customHeight="1" spans="1:40">
      <c r="A596" s="101"/>
      <c r="B596" s="7"/>
      <c r="C596" s="101"/>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row>
    <row r="597" customHeight="1" spans="1:40">
      <c r="A597" s="101"/>
      <c r="B597" s="7"/>
      <c r="C597" s="101"/>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row>
    <row r="598" customHeight="1" spans="1:40">
      <c r="A598" s="101"/>
      <c r="B598" s="7"/>
      <c r="C598" s="101"/>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row>
    <row r="599" customHeight="1" spans="1:40">
      <c r="A599" s="101"/>
      <c r="B599" s="7"/>
      <c r="C599" s="101"/>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row>
    <row r="600" customHeight="1" spans="1:40">
      <c r="A600" s="101"/>
      <c r="B600" s="7"/>
      <c r="C600" s="101"/>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row>
    <row r="601" customHeight="1" spans="1:40">
      <c r="A601" s="101"/>
      <c r="B601" s="7"/>
      <c r="C601" s="101"/>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row>
    <row r="602" customHeight="1" spans="1:40">
      <c r="A602" s="101"/>
      <c r="B602" s="7"/>
      <c r="C602" s="101"/>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row>
    <row r="603" customHeight="1" spans="1:40">
      <c r="A603" s="101"/>
      <c r="B603" s="7"/>
      <c r="C603" s="101"/>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row>
    <row r="604" customHeight="1" spans="1:40">
      <c r="A604" s="101"/>
      <c r="B604" s="7"/>
      <c r="C604" s="101"/>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row>
    <row r="605" customHeight="1" spans="1:40">
      <c r="A605" s="101"/>
      <c r="B605" s="7"/>
      <c r="C605" s="101"/>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row>
    <row r="606" customHeight="1" spans="1:40">
      <c r="A606" s="101"/>
      <c r="B606" s="7"/>
      <c r="C606" s="101"/>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row>
    <row r="607" customHeight="1" spans="1:40">
      <c r="A607" s="101"/>
      <c r="B607" s="7"/>
      <c r="C607" s="101"/>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row>
    <row r="608" customHeight="1" spans="1:40">
      <c r="A608" s="101"/>
      <c r="B608" s="7"/>
      <c r="C608" s="101"/>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row>
    <row r="609" customHeight="1" spans="1:40">
      <c r="A609" s="101"/>
      <c r="B609" s="7"/>
      <c r="C609" s="101"/>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row>
    <row r="610" customHeight="1" spans="1:40">
      <c r="A610" s="101"/>
      <c r="B610" s="7"/>
      <c r="C610" s="101"/>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row>
    <row r="611" customHeight="1" spans="1:40">
      <c r="A611" s="101"/>
      <c r="B611" s="7"/>
      <c r="C611" s="101"/>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row>
    <row r="612" customHeight="1" spans="1:40">
      <c r="A612" s="101"/>
      <c r="B612" s="7"/>
      <c r="C612" s="101"/>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row>
    <row r="613" customHeight="1" spans="1:40">
      <c r="A613" s="101"/>
      <c r="B613" s="7"/>
      <c r="C613" s="101"/>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row>
    <row r="614" customHeight="1" spans="1:40">
      <c r="A614" s="101"/>
      <c r="B614" s="7"/>
      <c r="C614" s="101"/>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row>
    <row r="615" customHeight="1" spans="1:40">
      <c r="A615" s="101"/>
      <c r="B615" s="7"/>
      <c r="C615" s="101"/>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row>
    <row r="616" customHeight="1" spans="1:40">
      <c r="A616" s="101"/>
      <c r="B616" s="7"/>
      <c r="C616" s="101"/>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row>
    <row r="617" customHeight="1" spans="1:40">
      <c r="A617" s="101"/>
      <c r="B617" s="7"/>
      <c r="C617" s="101"/>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row>
    <row r="618" customHeight="1" spans="1:40">
      <c r="A618" s="101"/>
      <c r="B618" s="7"/>
      <c r="C618" s="101"/>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row>
    <row r="619" customHeight="1" spans="1:40">
      <c r="A619" s="101"/>
      <c r="B619" s="7"/>
      <c r="C619" s="101"/>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row>
    <row r="620" customHeight="1" spans="1:40">
      <c r="A620" s="101"/>
      <c r="B620" s="7"/>
      <c r="C620" s="101"/>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row>
    <row r="621" customHeight="1" spans="1:40">
      <c r="A621" s="101"/>
      <c r="B621" s="7"/>
      <c r="C621" s="101"/>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row>
    <row r="622" customHeight="1" spans="1:40">
      <c r="A622" s="101"/>
      <c r="B622" s="7"/>
      <c r="C622" s="101"/>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row>
    <row r="623" customHeight="1" spans="1:40">
      <c r="A623" s="101"/>
      <c r="B623" s="7"/>
      <c r="C623" s="101"/>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row>
    <row r="624" customHeight="1" spans="1:40">
      <c r="A624" s="101"/>
      <c r="B624" s="7"/>
      <c r="C624" s="101"/>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row>
    <row r="625" customHeight="1" spans="1:40">
      <c r="A625" s="101"/>
      <c r="B625" s="7"/>
      <c r="C625" s="101"/>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row>
    <row r="626" customHeight="1" spans="1:40">
      <c r="A626" s="101"/>
      <c r="B626" s="7"/>
      <c r="C626" s="101"/>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row>
    <row r="627" customHeight="1" spans="1:40">
      <c r="A627" s="101"/>
      <c r="B627" s="7"/>
      <c r="C627" s="101"/>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row>
    <row r="628" customHeight="1" spans="1:40">
      <c r="A628" s="101"/>
      <c r="B628" s="7"/>
      <c r="C628" s="101"/>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row>
    <row r="629" customHeight="1" spans="1:40">
      <c r="A629" s="101"/>
      <c r="B629" s="7"/>
      <c r="C629" s="101"/>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row>
    <row r="630" customHeight="1" spans="1:40">
      <c r="A630" s="101"/>
      <c r="B630" s="7"/>
      <c r="C630" s="101"/>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row>
    <row r="631" customHeight="1" spans="1:40">
      <c r="A631" s="101"/>
      <c r="B631" s="7"/>
      <c r="C631" s="101"/>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row>
    <row r="632" customHeight="1" spans="1:40">
      <c r="A632" s="101"/>
      <c r="B632" s="7"/>
      <c r="C632" s="101"/>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row>
    <row r="633" customHeight="1" spans="1:40">
      <c r="A633" s="101"/>
      <c r="B633" s="7"/>
      <c r="C633" s="101"/>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row>
    <row r="634" customHeight="1" spans="1:40">
      <c r="A634" s="101"/>
      <c r="B634" s="7"/>
      <c r="C634" s="101"/>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row>
    <row r="635" customHeight="1" spans="1:40">
      <c r="A635" s="101"/>
      <c r="B635" s="7"/>
      <c r="C635" s="101"/>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row>
    <row r="636" customHeight="1" spans="1:40">
      <c r="A636" s="101"/>
      <c r="B636" s="7"/>
      <c r="C636" s="101"/>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row>
    <row r="637" customHeight="1" spans="1:40">
      <c r="A637" s="101"/>
      <c r="B637" s="7"/>
      <c r="C637" s="101"/>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row>
    <row r="638" customHeight="1" spans="1:40">
      <c r="A638" s="101"/>
      <c r="B638" s="7"/>
      <c r="C638" s="101"/>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row>
    <row r="639" customHeight="1" spans="1:40">
      <c r="A639" s="101"/>
      <c r="B639" s="7"/>
      <c r="C639" s="101"/>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row>
    <row r="640" customHeight="1" spans="1:40">
      <c r="A640" s="101"/>
      <c r="B640" s="7"/>
      <c r="C640" s="101"/>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row>
    <row r="641" customHeight="1" spans="1:40">
      <c r="A641" s="101"/>
      <c r="B641" s="7"/>
      <c r="C641" s="101"/>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row>
    <row r="642" customHeight="1" spans="1:40">
      <c r="A642" s="101"/>
      <c r="B642" s="7"/>
      <c r="C642" s="101"/>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row>
    <row r="643" customHeight="1" spans="1:40">
      <c r="A643" s="101"/>
      <c r="B643" s="7"/>
      <c r="C643" s="101"/>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row>
    <row r="644" customHeight="1" spans="1:40">
      <c r="A644" s="101"/>
      <c r="B644" s="7"/>
      <c r="C644" s="101"/>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row>
    <row r="645" customHeight="1" spans="1:40">
      <c r="A645" s="101"/>
      <c r="B645" s="7"/>
      <c r="C645" s="101"/>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row>
    <row r="646" customHeight="1" spans="1:40">
      <c r="A646" s="101"/>
      <c r="B646" s="7"/>
      <c r="C646" s="101"/>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row>
    <row r="647" customHeight="1" spans="1:40">
      <c r="A647" s="101"/>
      <c r="B647" s="7"/>
      <c r="C647" s="101"/>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row>
    <row r="648" customHeight="1" spans="1:40">
      <c r="A648" s="101"/>
      <c r="B648" s="7"/>
      <c r="C648" s="101"/>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row>
    <row r="649" customHeight="1" spans="1:40">
      <c r="A649" s="101"/>
      <c r="B649" s="7"/>
      <c r="C649" s="101"/>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row>
    <row r="650" customHeight="1" spans="1:40">
      <c r="A650" s="101"/>
      <c r="B650" s="7"/>
      <c r="C650" s="101"/>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row>
    <row r="651" customHeight="1" spans="1:40">
      <c r="A651" s="101"/>
      <c r="B651" s="7"/>
      <c r="C651" s="101"/>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row>
    <row r="652" customHeight="1" spans="1:40">
      <c r="A652" s="101"/>
      <c r="B652" s="7"/>
      <c r="C652" s="101"/>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row>
    <row r="653" customHeight="1" spans="1:40">
      <c r="A653" s="101"/>
      <c r="B653" s="7"/>
      <c r="C653" s="101"/>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row>
    <row r="654" customHeight="1" spans="1:40">
      <c r="A654" s="101"/>
      <c r="B654" s="7"/>
      <c r="C654" s="101"/>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row>
    <row r="655" customHeight="1" spans="1:40">
      <c r="A655" s="101"/>
      <c r="B655" s="7"/>
      <c r="C655" s="101"/>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row>
    <row r="656" customHeight="1" spans="1:40">
      <c r="A656" s="101"/>
      <c r="B656" s="7"/>
      <c r="C656" s="101"/>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row>
    <row r="657" customHeight="1" spans="1:40">
      <c r="A657" s="101"/>
      <c r="B657" s="7"/>
      <c r="C657" s="101"/>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row>
    <row r="658" customHeight="1" spans="1:40">
      <c r="A658" s="101"/>
      <c r="B658" s="7"/>
      <c r="C658" s="101"/>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row>
    <row r="659" customHeight="1" spans="1:40">
      <c r="A659" s="101"/>
      <c r="B659" s="7"/>
      <c r="C659" s="101"/>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row>
    <row r="660" customHeight="1" spans="1:40">
      <c r="A660" s="101"/>
      <c r="B660" s="7"/>
      <c r="C660" s="101"/>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row>
    <row r="661" customHeight="1" spans="1:40">
      <c r="A661" s="101"/>
      <c r="B661" s="7"/>
      <c r="C661" s="101"/>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row>
    <row r="662" customHeight="1" spans="1:40">
      <c r="A662" s="101"/>
      <c r="B662" s="7"/>
      <c r="C662" s="101"/>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row>
    <row r="663" customHeight="1" spans="1:40">
      <c r="A663" s="101"/>
      <c r="B663" s="7"/>
      <c r="C663" s="101"/>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row>
    <row r="664" customHeight="1" spans="1:40">
      <c r="A664" s="101"/>
      <c r="B664" s="7"/>
      <c r="C664" s="101"/>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row>
    <row r="665" customHeight="1" spans="1:40">
      <c r="A665" s="101"/>
      <c r="B665" s="7"/>
      <c r="C665" s="101"/>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row>
    <row r="666" customHeight="1" spans="1:40">
      <c r="A666" s="101"/>
      <c r="B666" s="7"/>
      <c r="C666" s="101"/>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row>
    <row r="667" customHeight="1" spans="1:40">
      <c r="A667" s="101"/>
      <c r="B667" s="7"/>
      <c r="C667" s="101"/>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row>
    <row r="668" customHeight="1" spans="1:40">
      <c r="A668" s="101"/>
      <c r="B668" s="7"/>
      <c r="C668" s="101"/>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row>
    <row r="669" customHeight="1" spans="1:40">
      <c r="A669" s="101"/>
      <c r="B669" s="7"/>
      <c r="C669" s="101"/>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row>
    <row r="670" customHeight="1" spans="1:40">
      <c r="A670" s="101"/>
      <c r="B670" s="7"/>
      <c r="C670" s="101"/>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row>
    <row r="671" customHeight="1" spans="1:40">
      <c r="A671" s="101"/>
      <c r="B671" s="7"/>
      <c r="C671" s="101"/>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row>
    <row r="672" customHeight="1" spans="1:40">
      <c r="A672" s="101"/>
      <c r="B672" s="7"/>
      <c r="C672" s="101"/>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row>
    <row r="673" customHeight="1" spans="1:40">
      <c r="A673" s="101"/>
      <c r="B673" s="7"/>
      <c r="C673" s="101"/>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row>
    <row r="674" customHeight="1" spans="1:40">
      <c r="A674" s="101"/>
      <c r="B674" s="7"/>
      <c r="C674" s="101"/>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row>
    <row r="675" customHeight="1" spans="1:40">
      <c r="A675" s="101"/>
      <c r="B675" s="7"/>
      <c r="C675" s="101"/>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row>
    <row r="676" customHeight="1" spans="1:40">
      <c r="A676" s="101"/>
      <c r="B676" s="7"/>
      <c r="C676" s="101"/>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row>
    <row r="677" customHeight="1" spans="1:40">
      <c r="A677" s="101"/>
      <c r="B677" s="7"/>
      <c r="C677" s="101"/>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row>
    <row r="678" customHeight="1" spans="1:40">
      <c r="A678" s="101"/>
      <c r="B678" s="7"/>
      <c r="C678" s="101"/>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row>
    <row r="679" customHeight="1" spans="1:40">
      <c r="A679" s="101"/>
      <c r="B679" s="7"/>
      <c r="C679" s="101"/>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row>
    <row r="680" customHeight="1" spans="1:40">
      <c r="A680" s="101"/>
      <c r="B680" s="7"/>
      <c r="C680" s="101"/>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row>
    <row r="681" customHeight="1" spans="1:40">
      <c r="A681" s="101"/>
      <c r="B681" s="7"/>
      <c r="C681" s="101"/>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row>
    <row r="682" customHeight="1" spans="1:40">
      <c r="A682" s="101"/>
      <c r="B682" s="7"/>
      <c r="C682" s="101"/>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row>
    <row r="683" customHeight="1" spans="1:40">
      <c r="A683" s="101"/>
      <c r="B683" s="7"/>
      <c r="C683" s="101"/>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row>
    <row r="684" customHeight="1" spans="1:40">
      <c r="A684" s="101"/>
      <c r="B684" s="7"/>
      <c r="C684" s="101"/>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row>
    <row r="685" customHeight="1" spans="1:40">
      <c r="A685" s="101"/>
      <c r="B685" s="7"/>
      <c r="C685" s="101"/>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row>
    <row r="686" customHeight="1" spans="1:40">
      <c r="A686" s="101"/>
      <c r="B686" s="7"/>
      <c r="C686" s="101"/>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row>
    <row r="687" customHeight="1" spans="1:40">
      <c r="A687" s="101"/>
      <c r="B687" s="7"/>
      <c r="C687" s="101"/>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row>
    <row r="688" customHeight="1" spans="1:40">
      <c r="A688" s="101"/>
      <c r="B688" s="7"/>
      <c r="C688" s="101"/>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row>
    <row r="689" customHeight="1" spans="1:40">
      <c r="A689" s="101"/>
      <c r="B689" s="7"/>
      <c r="C689" s="101"/>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row>
    <row r="690" customHeight="1" spans="1:40">
      <c r="A690" s="101"/>
      <c r="B690" s="7"/>
      <c r="C690" s="101"/>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row>
    <row r="691" customHeight="1" spans="1:40">
      <c r="A691" s="101"/>
      <c r="B691" s="7"/>
      <c r="C691" s="101"/>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row>
    <row r="692" customHeight="1" spans="1:40">
      <c r="A692" s="101"/>
      <c r="B692" s="7"/>
      <c r="C692" s="101"/>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row>
    <row r="693" customHeight="1" spans="1:40">
      <c r="A693" s="101"/>
      <c r="B693" s="7"/>
      <c r="C693" s="101"/>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row>
    <row r="694" customHeight="1" spans="1:40">
      <c r="A694" s="101"/>
      <c r="B694" s="7"/>
      <c r="C694" s="101"/>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row>
    <row r="695" customHeight="1" spans="1:40">
      <c r="A695" s="101"/>
      <c r="B695" s="7"/>
      <c r="C695" s="101"/>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row>
    <row r="696" customHeight="1" spans="1:40">
      <c r="A696" s="101"/>
      <c r="B696" s="7"/>
      <c r="C696" s="101"/>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row>
    <row r="697" customHeight="1" spans="1:40">
      <c r="A697" s="101"/>
      <c r="B697" s="7"/>
      <c r="C697" s="101"/>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row>
    <row r="698" customHeight="1" spans="1:40">
      <c r="A698" s="101"/>
      <c r="B698" s="7"/>
      <c r="C698" s="101"/>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row>
    <row r="699" customHeight="1" spans="1:40">
      <c r="A699" s="101"/>
      <c r="B699" s="7"/>
      <c r="C699" s="101"/>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row>
    <row r="700" customHeight="1" spans="1:40">
      <c r="A700" s="101"/>
      <c r="B700" s="7"/>
      <c r="C700" s="101"/>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row>
    <row r="701" customHeight="1" spans="1:40">
      <c r="A701" s="101"/>
      <c r="B701" s="7"/>
      <c r="C701" s="101"/>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row>
    <row r="702" customHeight="1" spans="1:40">
      <c r="A702" s="101"/>
      <c r="B702" s="7"/>
      <c r="C702" s="101"/>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row>
    <row r="703" customHeight="1" spans="1:40">
      <c r="A703" s="101"/>
      <c r="B703" s="7"/>
      <c r="C703" s="101"/>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row>
    <row r="704" customHeight="1" spans="1:40">
      <c r="A704" s="101"/>
      <c r="B704" s="7"/>
      <c r="C704" s="101"/>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row>
    <row r="705" customHeight="1" spans="1:40">
      <c r="A705" s="101"/>
      <c r="B705" s="7"/>
      <c r="C705" s="101"/>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row>
    <row r="706" customHeight="1" spans="1:40">
      <c r="A706" s="101"/>
      <c r="B706" s="7"/>
      <c r="C706" s="101"/>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row>
    <row r="707" customHeight="1" spans="1:40">
      <c r="A707" s="101"/>
      <c r="B707" s="7"/>
      <c r="C707" s="101"/>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row>
    <row r="708" customHeight="1" spans="1:40">
      <c r="A708" s="101"/>
      <c r="B708" s="7"/>
      <c r="C708" s="101"/>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row>
    <row r="709" customHeight="1" spans="1:40">
      <c r="A709" s="101"/>
      <c r="B709" s="7"/>
      <c r="C709" s="101"/>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row>
    <row r="710" customHeight="1" spans="1:40">
      <c r="A710" s="101"/>
      <c r="B710" s="7"/>
      <c r="C710" s="101"/>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row>
    <row r="711" customHeight="1" spans="1:40">
      <c r="A711" s="101"/>
      <c r="B711" s="7"/>
      <c r="C711" s="101"/>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row>
    <row r="712" customHeight="1" spans="1:40">
      <c r="A712" s="101"/>
      <c r="B712" s="7"/>
      <c r="C712" s="101"/>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row>
    <row r="713" customHeight="1" spans="1:40">
      <c r="A713" s="101"/>
      <c r="B713" s="7"/>
      <c r="C713" s="101"/>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row>
    <row r="714" customHeight="1" spans="1:40">
      <c r="A714" s="101"/>
      <c r="B714" s="7"/>
      <c r="C714" s="101"/>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row>
    <row r="715" customHeight="1" spans="1:40">
      <c r="A715" s="101"/>
      <c r="B715" s="7"/>
      <c r="C715" s="101"/>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row>
    <row r="716" customHeight="1" spans="1:40">
      <c r="A716" s="101"/>
      <c r="B716" s="7"/>
      <c r="C716" s="101"/>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row>
    <row r="717" customHeight="1" spans="1:40">
      <c r="A717" s="101"/>
      <c r="B717" s="7"/>
      <c r="C717" s="101"/>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row>
    <row r="718" customHeight="1" spans="1:40">
      <c r="A718" s="101"/>
      <c r="B718" s="7"/>
      <c r="C718" s="101"/>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row>
    <row r="719" customHeight="1" spans="1:40">
      <c r="A719" s="101"/>
      <c r="B719" s="7"/>
      <c r="C719" s="101"/>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row>
    <row r="720" customHeight="1" spans="1:40">
      <c r="A720" s="101"/>
      <c r="B720" s="7"/>
      <c r="C720" s="101"/>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row>
    <row r="721" customHeight="1" spans="1:40">
      <c r="A721" s="101"/>
      <c r="B721" s="7"/>
      <c r="C721" s="101"/>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row>
    <row r="722" customHeight="1" spans="1:40">
      <c r="A722" s="101"/>
      <c r="B722" s="7"/>
      <c r="C722" s="101"/>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row>
    <row r="723" customHeight="1" spans="1:40">
      <c r="A723" s="101"/>
      <c r="B723" s="7"/>
      <c r="C723" s="101"/>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row>
    <row r="724" customHeight="1" spans="1:40">
      <c r="A724" s="101"/>
      <c r="B724" s="7"/>
      <c r="C724" s="101"/>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row>
    <row r="725" customHeight="1" spans="1:40">
      <c r="A725" s="101"/>
      <c r="B725" s="7"/>
      <c r="C725" s="101"/>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row>
    <row r="726" customHeight="1" spans="1:40">
      <c r="A726" s="101"/>
      <c r="B726" s="7"/>
      <c r="C726" s="101"/>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row>
    <row r="727" customHeight="1" spans="1:40">
      <c r="A727" s="101"/>
      <c r="B727" s="7"/>
      <c r="C727" s="101"/>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row>
    <row r="728" customHeight="1" spans="1:40">
      <c r="A728" s="101"/>
      <c r="B728" s="7"/>
      <c r="C728" s="101"/>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row>
    <row r="729" customHeight="1" spans="1:40">
      <c r="A729" s="101"/>
      <c r="B729" s="7"/>
      <c r="C729" s="101"/>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row>
    <row r="730" customHeight="1" spans="1:40">
      <c r="A730" s="101"/>
      <c r="B730" s="7"/>
      <c r="C730" s="101"/>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row>
    <row r="731" customHeight="1" spans="1:40">
      <c r="A731" s="101"/>
      <c r="B731" s="7"/>
      <c r="C731" s="101"/>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row>
    <row r="732" customHeight="1" spans="1:40">
      <c r="A732" s="101"/>
      <c r="B732" s="7"/>
      <c r="C732" s="101"/>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row>
    <row r="733" customHeight="1" spans="1:40">
      <c r="A733" s="101"/>
      <c r="B733" s="7"/>
      <c r="C733" s="101"/>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row>
    <row r="734" customHeight="1" spans="1:40">
      <c r="A734" s="101"/>
      <c r="B734" s="7"/>
      <c r="C734" s="101"/>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row>
    <row r="735" customHeight="1" spans="1:40">
      <c r="A735" s="101"/>
      <c r="B735" s="7"/>
      <c r="C735" s="101"/>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row>
    <row r="736" customHeight="1" spans="1:40">
      <c r="A736" s="101"/>
      <c r="B736" s="7"/>
      <c r="C736" s="101"/>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row>
    <row r="737" customHeight="1" spans="1:40">
      <c r="A737" s="101"/>
      <c r="B737" s="7"/>
      <c r="C737" s="101"/>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row>
    <row r="738" customHeight="1" spans="1:40">
      <c r="A738" s="101"/>
      <c r="B738" s="7"/>
      <c r="C738" s="101"/>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row>
    <row r="739" customHeight="1" spans="1:40">
      <c r="A739" s="101"/>
      <c r="B739" s="7"/>
      <c r="C739" s="101"/>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row>
    <row r="740" customHeight="1" spans="1:40">
      <c r="A740" s="101"/>
      <c r="B740" s="7"/>
      <c r="C740" s="101"/>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row>
    <row r="741" customHeight="1" spans="1:40">
      <c r="A741" s="101"/>
      <c r="B741" s="7"/>
      <c r="C741" s="101"/>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row>
    <row r="742" customHeight="1" spans="1:40">
      <c r="A742" s="101"/>
      <c r="B742" s="7"/>
      <c r="C742" s="101"/>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row>
    <row r="743" customHeight="1" spans="1:40">
      <c r="A743" s="101"/>
      <c r="B743" s="7"/>
      <c r="C743" s="101"/>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row>
    <row r="744" customHeight="1" spans="1:40">
      <c r="A744" s="101"/>
      <c r="B744" s="7"/>
      <c r="C744" s="101"/>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row>
    <row r="745" customHeight="1" spans="1:40">
      <c r="A745" s="101"/>
      <c r="B745" s="7"/>
      <c r="C745" s="101"/>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row>
    <row r="746" customHeight="1" spans="1:40">
      <c r="A746" s="101"/>
      <c r="B746" s="7"/>
      <c r="C746" s="101"/>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row>
    <row r="747" customHeight="1" spans="1:40">
      <c r="A747" s="101"/>
      <c r="B747" s="7"/>
      <c r="C747" s="101"/>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row>
    <row r="748" customHeight="1" spans="1:40">
      <c r="A748" s="101"/>
      <c r="B748" s="7"/>
      <c r="C748" s="101"/>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row>
    <row r="749" customHeight="1" spans="1:40">
      <c r="A749" s="101"/>
      <c r="B749" s="7"/>
      <c r="C749" s="101"/>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row>
    <row r="750" customHeight="1" spans="1:40">
      <c r="A750" s="101"/>
      <c r="B750" s="7"/>
      <c r="C750" s="101"/>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row>
    <row r="751" customHeight="1" spans="1:40">
      <c r="A751" s="101"/>
      <c r="B751" s="7"/>
      <c r="C751" s="101"/>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row>
    <row r="752" customHeight="1" spans="1:40">
      <c r="A752" s="101"/>
      <c r="B752" s="7"/>
      <c r="C752" s="101"/>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row>
    <row r="753" customHeight="1" spans="1:40">
      <c r="A753" s="101"/>
      <c r="B753" s="7"/>
      <c r="C753" s="101"/>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row>
    <row r="754" customHeight="1" spans="1:40">
      <c r="A754" s="101"/>
      <c r="B754" s="7"/>
      <c r="C754" s="101"/>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row>
    <row r="755" customHeight="1" spans="1:40">
      <c r="A755" s="101"/>
      <c r="B755" s="7"/>
      <c r="C755" s="101"/>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row>
    <row r="756" customHeight="1" spans="1:40">
      <c r="A756" s="101"/>
      <c r="B756" s="7"/>
      <c r="C756" s="101"/>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row>
    <row r="757" customHeight="1" spans="1:40">
      <c r="A757" s="101"/>
      <c r="B757" s="7"/>
      <c r="C757" s="101"/>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row>
    <row r="758" customHeight="1" spans="1:40">
      <c r="A758" s="101"/>
      <c r="B758" s="7"/>
      <c r="C758" s="101"/>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row>
    <row r="759" customHeight="1" spans="1:40">
      <c r="A759" s="101"/>
      <c r="B759" s="7"/>
      <c r="C759" s="101"/>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row>
    <row r="760" customHeight="1" spans="1:40">
      <c r="A760" s="101"/>
      <c r="B760" s="7"/>
      <c r="C760" s="101"/>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row>
    <row r="761" customHeight="1" spans="1:40">
      <c r="A761" s="101"/>
      <c r="B761" s="7"/>
      <c r="C761" s="101"/>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row>
    <row r="762" customHeight="1" spans="1:40">
      <c r="A762" s="101"/>
      <c r="B762" s="7"/>
      <c r="C762" s="101"/>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row>
    <row r="763" customHeight="1" spans="1:40">
      <c r="A763" s="101"/>
      <c r="B763" s="7"/>
      <c r="C763" s="101"/>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row>
    <row r="764" customHeight="1" spans="1:40">
      <c r="A764" s="101"/>
      <c r="B764" s="7"/>
      <c r="C764" s="101"/>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row>
    <row r="765" customHeight="1" spans="1:40">
      <c r="A765" s="101"/>
      <c r="B765" s="7"/>
      <c r="C765" s="101"/>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row>
    <row r="766" customHeight="1" spans="1:40">
      <c r="A766" s="101"/>
      <c r="B766" s="7"/>
      <c r="C766" s="101"/>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row>
    <row r="767" customHeight="1" spans="1:40">
      <c r="A767" s="101"/>
      <c r="B767" s="7"/>
      <c r="C767" s="101"/>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row>
    <row r="768" customHeight="1" spans="1:40">
      <c r="A768" s="101"/>
      <c r="B768" s="7"/>
      <c r="C768" s="101"/>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row>
    <row r="769" customHeight="1" spans="1:40">
      <c r="A769" s="101"/>
      <c r="B769" s="7"/>
      <c r="C769" s="101"/>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row>
    <row r="770" customHeight="1" spans="1:40">
      <c r="A770" s="101"/>
      <c r="B770" s="7"/>
      <c r="C770" s="101"/>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row>
    <row r="771" customHeight="1" spans="1:40">
      <c r="A771" s="101"/>
      <c r="B771" s="7"/>
      <c r="C771" s="101"/>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row>
    <row r="772" customHeight="1" spans="1:40">
      <c r="A772" s="101"/>
      <c r="B772" s="7"/>
      <c r="C772" s="101"/>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row>
    <row r="773" customHeight="1" spans="1:40">
      <c r="A773" s="101"/>
      <c r="B773" s="7"/>
      <c r="C773" s="101"/>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row>
    <row r="774" customHeight="1" spans="1:40">
      <c r="A774" s="101"/>
      <c r="B774" s="7"/>
      <c r="C774" s="101"/>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row>
    <row r="775" customHeight="1" spans="1:40">
      <c r="A775" s="101"/>
      <c r="B775" s="7"/>
      <c r="C775" s="101"/>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row>
    <row r="776" customHeight="1" spans="1:40">
      <c r="A776" s="101"/>
      <c r="B776" s="7"/>
      <c r="C776" s="101"/>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row>
    <row r="777" customHeight="1" spans="1:40">
      <c r="A777" s="101"/>
      <c r="B777" s="7"/>
      <c r="C777" s="101"/>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row>
    <row r="778" customHeight="1" spans="1:40">
      <c r="A778" s="101"/>
      <c r="B778" s="7"/>
      <c r="C778" s="101"/>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row>
    <row r="779" customHeight="1" spans="1:40">
      <c r="A779" s="101"/>
      <c r="B779" s="7"/>
      <c r="C779" s="101"/>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row>
    <row r="780" customHeight="1" spans="1:40">
      <c r="A780" s="101"/>
      <c r="B780" s="7"/>
      <c r="C780" s="101"/>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row>
    <row r="781" customHeight="1" spans="1:40">
      <c r="A781" s="101"/>
      <c r="B781" s="7"/>
      <c r="C781" s="101"/>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row>
    <row r="782" customHeight="1" spans="1:40">
      <c r="A782" s="101"/>
      <c r="B782" s="7"/>
      <c r="C782" s="101"/>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row>
    <row r="783" customHeight="1" spans="1:40">
      <c r="A783" s="101"/>
      <c r="B783" s="7"/>
      <c r="C783" s="101"/>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row>
    <row r="784" customHeight="1" spans="1:40">
      <c r="A784" s="101"/>
      <c r="B784" s="7"/>
      <c r="C784" s="101"/>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row>
    <row r="785" customHeight="1" spans="1:40">
      <c r="A785" s="101"/>
      <c r="B785" s="7"/>
      <c r="C785" s="101"/>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row>
    <row r="786" customHeight="1" spans="1:40">
      <c r="A786" s="101"/>
      <c r="B786" s="7"/>
      <c r="C786" s="101"/>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row>
    <row r="787" customHeight="1" spans="1:40">
      <c r="A787" s="101"/>
      <c r="B787" s="7"/>
      <c r="C787" s="101"/>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row>
    <row r="788" customHeight="1" spans="1:40">
      <c r="A788" s="101"/>
      <c r="B788" s="7"/>
      <c r="C788" s="101"/>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row>
    <row r="789" customHeight="1" spans="1:40">
      <c r="A789" s="101"/>
      <c r="B789" s="7"/>
      <c r="C789" s="101"/>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row>
    <row r="790" customHeight="1" spans="1:40">
      <c r="A790" s="101"/>
      <c r="B790" s="7"/>
      <c r="C790" s="101"/>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row>
    <row r="791" customHeight="1" spans="1:40">
      <c r="A791" s="101"/>
      <c r="B791" s="7"/>
      <c r="C791" s="101"/>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row>
    <row r="792" customHeight="1" spans="1:40">
      <c r="A792" s="101"/>
      <c r="B792" s="7"/>
      <c r="C792" s="101"/>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row>
    <row r="793" customHeight="1" spans="1:40">
      <c r="A793" s="101"/>
      <c r="B793" s="7"/>
      <c r="C793" s="101"/>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row>
    <row r="794" customHeight="1" spans="1:40">
      <c r="A794" s="101"/>
      <c r="B794" s="7"/>
      <c r="C794" s="101"/>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row>
    <row r="795" customHeight="1" spans="1:40">
      <c r="A795" s="101"/>
      <c r="B795" s="7"/>
      <c r="C795" s="101"/>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row>
    <row r="796" customHeight="1" spans="1:40">
      <c r="A796" s="101"/>
      <c r="B796" s="7"/>
      <c r="C796" s="101"/>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row>
    <row r="797" customHeight="1" spans="1:40">
      <c r="A797" s="101"/>
      <c r="B797" s="7"/>
      <c r="C797" s="101"/>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row>
    <row r="798" customHeight="1" spans="1:40">
      <c r="A798" s="101"/>
      <c r="B798" s="7"/>
      <c r="C798" s="101"/>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row>
    <row r="799" customHeight="1" spans="1:40">
      <c r="A799" s="101"/>
      <c r="B799" s="7"/>
      <c r="C799" s="101"/>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row>
    <row r="800" customHeight="1" spans="1:40">
      <c r="A800" s="101"/>
      <c r="B800" s="7"/>
      <c r="C800" s="101"/>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row>
    <row r="801" customHeight="1" spans="1:40">
      <c r="A801" s="101"/>
      <c r="B801" s="7"/>
      <c r="C801" s="101"/>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row>
    <row r="802" customHeight="1" spans="1:40">
      <c r="A802" s="101"/>
      <c r="B802" s="7"/>
      <c r="C802" s="101"/>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row>
    <row r="803" customHeight="1" spans="1:40">
      <c r="A803" s="101"/>
      <c r="B803" s="7"/>
      <c r="C803" s="101"/>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row>
    <row r="804" customHeight="1" spans="1:40">
      <c r="A804" s="101"/>
      <c r="B804" s="7"/>
      <c r="C804" s="101"/>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row>
    <row r="805" customHeight="1" spans="1:40">
      <c r="A805" s="101"/>
      <c r="B805" s="7"/>
      <c r="C805" s="101"/>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row>
    <row r="806" customHeight="1" spans="1:40">
      <c r="A806" s="101"/>
      <c r="B806" s="7"/>
      <c r="C806" s="101"/>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row>
    <row r="807" customHeight="1" spans="1:40">
      <c r="A807" s="101"/>
      <c r="B807" s="7"/>
      <c r="C807" s="101"/>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row>
    <row r="808" customHeight="1" spans="1:40">
      <c r="A808" s="101"/>
      <c r="B808" s="7"/>
      <c r="C808" s="101"/>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row>
    <row r="809" customHeight="1" spans="1:40">
      <c r="A809" s="101"/>
      <c r="B809" s="7"/>
      <c r="C809" s="101"/>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row>
    <row r="810" customHeight="1" spans="1:40">
      <c r="A810" s="101"/>
      <c r="B810" s="7"/>
      <c r="C810" s="101"/>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row>
    <row r="811" customHeight="1" spans="1:40">
      <c r="A811" s="101"/>
      <c r="B811" s="7"/>
      <c r="C811" s="101"/>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row>
    <row r="812" customHeight="1" spans="1:40">
      <c r="A812" s="101"/>
      <c r="B812" s="7"/>
      <c r="C812" s="101"/>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row>
    <row r="813" customHeight="1" spans="1:40">
      <c r="A813" s="101"/>
      <c r="B813" s="7"/>
      <c r="C813" s="101"/>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row>
    <row r="814" customHeight="1" spans="1:40">
      <c r="A814" s="101"/>
      <c r="B814" s="7"/>
      <c r="C814" s="101"/>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row>
    <row r="815" customHeight="1" spans="1:40">
      <c r="A815" s="101"/>
      <c r="B815" s="7"/>
      <c r="C815" s="101"/>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row>
    <row r="816" customHeight="1" spans="1:40">
      <c r="A816" s="101"/>
      <c r="B816" s="7"/>
      <c r="C816" s="101"/>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row>
    <row r="817" customHeight="1" spans="1:40">
      <c r="A817" s="101"/>
      <c r="B817" s="7"/>
      <c r="C817" s="101"/>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row>
    <row r="818" customHeight="1" spans="1:40">
      <c r="A818" s="101"/>
      <c r="B818" s="7"/>
      <c r="C818" s="101"/>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row>
    <row r="819" customHeight="1" spans="1:40">
      <c r="A819" s="101"/>
      <c r="B819" s="7"/>
      <c r="C819" s="101"/>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row>
    <row r="820" customHeight="1" spans="1:40">
      <c r="A820" s="101"/>
      <c r="B820" s="7"/>
      <c r="C820" s="101"/>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row>
    <row r="821" customHeight="1" spans="1:40">
      <c r="A821" s="101"/>
      <c r="B821" s="7"/>
      <c r="C821" s="101"/>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row>
    <row r="822" customHeight="1" spans="1:40">
      <c r="A822" s="101"/>
      <c r="B822" s="7"/>
      <c r="C822" s="101"/>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row>
    <row r="823" customHeight="1" spans="1:40">
      <c r="A823" s="101"/>
      <c r="B823" s="7"/>
      <c r="C823" s="101"/>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row>
    <row r="824" customHeight="1" spans="1:40">
      <c r="A824" s="101"/>
      <c r="B824" s="7"/>
      <c r="C824" s="101"/>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row>
    <row r="825" customHeight="1" spans="1:40">
      <c r="A825" s="101"/>
      <c r="B825" s="7"/>
      <c r="C825" s="101"/>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row>
    <row r="826" customHeight="1" spans="1:40">
      <c r="A826" s="101"/>
      <c r="B826" s="7"/>
      <c r="C826" s="101"/>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row>
    <row r="827" customHeight="1" spans="1:40">
      <c r="A827" s="101"/>
      <c r="B827" s="7"/>
      <c r="C827" s="101"/>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row>
    <row r="828" customHeight="1" spans="1:40">
      <c r="A828" s="101"/>
      <c r="B828" s="7"/>
      <c r="C828" s="101"/>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row>
    <row r="829" customHeight="1" spans="1:40">
      <c r="A829" s="101"/>
      <c r="B829" s="7"/>
      <c r="C829" s="101"/>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row>
    <row r="830" customHeight="1" spans="1:40">
      <c r="A830" s="101"/>
      <c r="B830" s="7"/>
      <c r="C830" s="101"/>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row>
    <row r="831" customHeight="1" spans="1:40">
      <c r="A831" s="101"/>
      <c r="B831" s="7"/>
      <c r="C831" s="101"/>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row>
    <row r="832" customHeight="1" spans="1:40">
      <c r="A832" s="101"/>
      <c r="B832" s="7"/>
      <c r="C832" s="101"/>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row>
    <row r="833" customHeight="1" spans="1:40">
      <c r="A833" s="101"/>
      <c r="B833" s="7"/>
      <c r="C833" s="101"/>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row>
    <row r="834" customHeight="1" spans="1:40">
      <c r="A834" s="101"/>
      <c r="B834" s="7"/>
      <c r="C834" s="101"/>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row>
    <row r="835" customHeight="1" spans="1:40">
      <c r="A835" s="101"/>
      <c r="B835" s="7"/>
      <c r="C835" s="101"/>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row>
    <row r="836" customHeight="1" spans="1:40">
      <c r="A836" s="101"/>
      <c r="B836" s="7"/>
      <c r="C836" s="101"/>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row>
    <row r="837" customHeight="1" spans="1:40">
      <c r="A837" s="101"/>
      <c r="B837" s="7"/>
      <c r="C837" s="101"/>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row>
    <row r="838" customHeight="1" spans="1:40">
      <c r="A838" s="101"/>
      <c r="B838" s="7"/>
      <c r="C838" s="101"/>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row>
    <row r="839" customHeight="1" spans="1:40">
      <c r="A839" s="101"/>
      <c r="B839" s="7"/>
      <c r="C839" s="101"/>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row>
    <row r="840" customHeight="1" spans="1:40">
      <c r="A840" s="101"/>
      <c r="B840" s="7"/>
      <c r="C840" s="101"/>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row>
    <row r="841" customHeight="1" spans="1:40">
      <c r="A841" s="101"/>
      <c r="B841" s="7"/>
      <c r="C841" s="101"/>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row>
    <row r="842" customHeight="1" spans="1:40">
      <c r="A842" s="101"/>
      <c r="B842" s="7"/>
      <c r="C842" s="101"/>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row>
    <row r="843" customHeight="1" spans="1:40">
      <c r="A843" s="101"/>
      <c r="B843" s="7"/>
      <c r="C843" s="101"/>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row>
    <row r="844" customHeight="1" spans="1:40">
      <c r="A844" s="101"/>
      <c r="B844" s="7"/>
      <c r="C844" s="101"/>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row>
    <row r="845" customHeight="1" spans="1:40">
      <c r="A845" s="101"/>
      <c r="B845" s="7"/>
      <c r="C845" s="101"/>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row>
    <row r="846" customHeight="1" spans="1:40">
      <c r="A846" s="101"/>
      <c r="B846" s="7"/>
      <c r="C846" s="101"/>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row>
    <row r="847" customHeight="1" spans="1:40">
      <c r="A847" s="101"/>
      <c r="B847" s="7"/>
      <c r="C847" s="101"/>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row>
    <row r="848" customHeight="1" spans="1:40">
      <c r="A848" s="101"/>
      <c r="B848" s="7"/>
      <c r="C848" s="101"/>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row>
    <row r="849" customHeight="1" spans="1:40">
      <c r="A849" s="101"/>
      <c r="B849" s="7"/>
      <c r="C849" s="101"/>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row>
    <row r="850" customHeight="1" spans="1:40">
      <c r="A850" s="101"/>
      <c r="B850" s="7"/>
      <c r="C850" s="101"/>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row>
    <row r="851" customHeight="1" spans="1:40">
      <c r="A851" s="101"/>
      <c r="B851" s="7"/>
      <c r="C851" s="101"/>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row>
    <row r="852" customHeight="1" spans="1:40">
      <c r="A852" s="101"/>
      <c r="B852" s="7"/>
      <c r="C852" s="101"/>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row>
    <row r="853" customHeight="1" spans="1:40">
      <c r="A853" s="101"/>
      <c r="B853" s="7"/>
      <c r="C853" s="101"/>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row>
    <row r="854" customHeight="1" spans="1:40">
      <c r="A854" s="101"/>
      <c r="B854" s="7"/>
      <c r="C854" s="101"/>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row>
    <row r="855" customHeight="1" spans="1:40">
      <c r="A855" s="101"/>
      <c r="B855" s="7"/>
      <c r="C855" s="101"/>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row>
    <row r="856" customHeight="1" spans="1:40">
      <c r="A856" s="101"/>
      <c r="B856" s="7"/>
      <c r="C856" s="101"/>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row>
    <row r="857" customHeight="1" spans="1:40">
      <c r="A857" s="101"/>
      <c r="B857" s="7"/>
      <c r="C857" s="101"/>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row>
    <row r="858" customHeight="1" spans="1:40">
      <c r="A858" s="101"/>
      <c r="B858" s="7"/>
      <c r="C858" s="101"/>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row>
    <row r="859" customHeight="1" spans="1:40">
      <c r="A859" s="101"/>
      <c r="B859" s="7"/>
      <c r="C859" s="101"/>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row>
    <row r="860" customHeight="1" spans="1:40">
      <c r="A860" s="101"/>
      <c r="B860" s="7"/>
      <c r="C860" s="101"/>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row>
    <row r="861" customHeight="1" spans="1:40">
      <c r="A861" s="101"/>
      <c r="B861" s="7"/>
      <c r="C861" s="101"/>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row>
    <row r="862" customHeight="1" spans="1:40">
      <c r="A862" s="101"/>
      <c r="B862" s="7"/>
      <c r="C862" s="101"/>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row>
    <row r="863" customHeight="1" spans="1:40">
      <c r="A863" s="101"/>
      <c r="B863" s="7"/>
      <c r="C863" s="101"/>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row>
    <row r="864" customHeight="1" spans="1:40">
      <c r="A864" s="101"/>
      <c r="B864" s="7"/>
      <c r="C864" s="101"/>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row>
    <row r="865" customHeight="1" spans="1:40">
      <c r="A865" s="101"/>
      <c r="B865" s="7"/>
      <c r="C865" s="101"/>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row>
    <row r="866" customHeight="1" spans="1:40">
      <c r="A866" s="101"/>
      <c r="B866" s="7"/>
      <c r="C866" s="101"/>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row>
    <row r="867" customHeight="1" spans="1:40">
      <c r="A867" s="101"/>
      <c r="B867" s="7"/>
      <c r="C867" s="101"/>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row>
    <row r="868" customHeight="1" spans="1:40">
      <c r="A868" s="101"/>
      <c r="B868" s="7"/>
      <c r="C868" s="101"/>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row>
    <row r="869" customHeight="1" spans="1:40">
      <c r="A869" s="101"/>
      <c r="B869" s="7"/>
      <c r="C869" s="101"/>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row>
    <row r="870" customHeight="1" spans="1:40">
      <c r="A870" s="101"/>
      <c r="B870" s="7"/>
      <c r="C870" s="101"/>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row>
    <row r="871" customHeight="1" spans="1:40">
      <c r="A871" s="101"/>
      <c r="B871" s="7"/>
      <c r="C871" s="101"/>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row>
    <row r="872" customHeight="1" spans="1:40">
      <c r="A872" s="101"/>
      <c r="B872" s="7"/>
      <c r="C872" s="101"/>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row>
    <row r="873" customHeight="1" spans="1:40">
      <c r="A873" s="101"/>
      <c r="B873" s="7"/>
      <c r="C873" s="101"/>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row>
    <row r="874" customHeight="1" spans="1:40">
      <c r="A874" s="101"/>
      <c r="B874" s="7"/>
      <c r="C874" s="101"/>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row>
    <row r="875" customHeight="1" spans="1:40">
      <c r="A875" s="101"/>
      <c r="B875" s="7"/>
      <c r="C875" s="101"/>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row>
    <row r="876" customHeight="1" spans="1:40">
      <c r="A876" s="101"/>
      <c r="B876" s="7"/>
      <c r="C876" s="101"/>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row>
    <row r="877" customHeight="1" spans="1:40">
      <c r="A877" s="101"/>
      <c r="B877" s="7"/>
      <c r="C877" s="101"/>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row>
    <row r="878" customHeight="1" spans="1:40">
      <c r="A878" s="101"/>
      <c r="B878" s="7"/>
      <c r="C878" s="101"/>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row>
    <row r="879" customHeight="1" spans="1:40">
      <c r="A879" s="101"/>
      <c r="B879" s="7"/>
      <c r="C879" s="101"/>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row>
    <row r="880" customHeight="1" spans="1:40">
      <c r="A880" s="101"/>
      <c r="B880" s="7"/>
      <c r="C880" s="101"/>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row>
    <row r="881" customHeight="1" spans="1:40">
      <c r="A881" s="101"/>
      <c r="B881" s="7"/>
      <c r="C881" s="101"/>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row>
    <row r="882" customHeight="1" spans="1:40">
      <c r="A882" s="101"/>
      <c r="B882" s="7"/>
      <c r="C882" s="101"/>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row>
    <row r="883" customHeight="1" spans="1:40">
      <c r="A883" s="101"/>
      <c r="B883" s="7"/>
      <c r="C883" s="101"/>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row>
    <row r="884" customHeight="1" spans="1:40">
      <c r="A884" s="101"/>
      <c r="B884" s="7"/>
      <c r="C884" s="101"/>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row>
    <row r="885" customHeight="1" spans="1:40">
      <c r="A885" s="101"/>
      <c r="B885" s="7"/>
      <c r="C885" s="101"/>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row>
    <row r="886" customHeight="1" spans="1:40">
      <c r="A886" s="101"/>
      <c r="B886" s="7"/>
      <c r="C886" s="101"/>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row>
    <row r="887" customHeight="1" spans="1:40">
      <c r="A887" s="101"/>
      <c r="B887" s="7"/>
      <c r="C887" s="101"/>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row>
    <row r="888" customHeight="1" spans="1:40">
      <c r="A888" s="101"/>
      <c r="B888" s="7"/>
      <c r="C888" s="101"/>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row>
    <row r="889" customHeight="1" spans="1:40">
      <c r="A889" s="101"/>
      <c r="B889" s="7"/>
      <c r="C889" s="101"/>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row>
    <row r="890" customHeight="1" spans="1:40">
      <c r="A890" s="101"/>
      <c r="B890" s="7"/>
      <c r="C890" s="101"/>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row>
    <row r="891" customHeight="1" spans="1:40">
      <c r="A891" s="101"/>
      <c r="B891" s="7"/>
      <c r="C891" s="101"/>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row>
    <row r="892" customHeight="1" spans="1:40">
      <c r="A892" s="101"/>
      <c r="B892" s="7"/>
      <c r="C892" s="101"/>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row>
    <row r="893" customHeight="1" spans="1:40">
      <c r="A893" s="101"/>
      <c r="B893" s="7"/>
      <c r="C893" s="101"/>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row>
    <row r="894" customHeight="1" spans="1:40">
      <c r="A894" s="101"/>
      <c r="B894" s="7"/>
      <c r="C894" s="101"/>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row>
    <row r="895" customHeight="1" spans="1:40">
      <c r="A895" s="101"/>
      <c r="B895" s="7"/>
      <c r="C895" s="101"/>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row>
    <row r="896" customHeight="1" spans="1:40">
      <c r="A896" s="101"/>
      <c r="B896" s="7"/>
      <c r="C896" s="101"/>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row>
    <row r="897" customHeight="1" spans="1:40">
      <c r="A897" s="101"/>
      <c r="B897" s="7"/>
      <c r="C897" s="101"/>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row>
    <row r="898" customHeight="1" spans="1:40">
      <c r="A898" s="101"/>
      <c r="B898" s="7"/>
      <c r="C898" s="101"/>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row>
    <row r="899" customHeight="1" spans="1:40">
      <c r="A899" s="101"/>
      <c r="B899" s="7"/>
      <c r="C899" s="101"/>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row>
    <row r="900" customHeight="1" spans="1:40">
      <c r="A900" s="101"/>
      <c r="B900" s="7"/>
      <c r="C900" s="101"/>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row>
    <row r="901" customHeight="1" spans="1:40">
      <c r="A901" s="101"/>
      <c r="B901" s="7"/>
      <c r="C901" s="101"/>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row>
    <row r="902" customHeight="1" spans="1:40">
      <c r="A902" s="101"/>
      <c r="B902" s="7"/>
      <c r="C902" s="101"/>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row>
    <row r="903" customHeight="1" spans="1:40">
      <c r="A903" s="101"/>
      <c r="B903" s="7"/>
      <c r="C903" s="101"/>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row>
    <row r="904" customHeight="1" spans="1:40">
      <c r="A904" s="101"/>
      <c r="B904" s="7"/>
      <c r="C904" s="101"/>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row>
    <row r="905" customHeight="1" spans="1:40">
      <c r="A905" s="101"/>
      <c r="B905" s="7"/>
      <c r="C905" s="101"/>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row>
    <row r="906" customHeight="1" spans="1:40">
      <c r="A906" s="101"/>
      <c r="B906" s="7"/>
      <c r="C906" s="101"/>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row>
    <row r="907" customHeight="1" spans="1:40">
      <c r="A907" s="101"/>
      <c r="B907" s="7"/>
      <c r="C907" s="101"/>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row>
    <row r="908" customHeight="1" spans="1:40">
      <c r="A908" s="101"/>
      <c r="B908" s="7"/>
      <c r="C908" s="101"/>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row>
    <row r="909" customHeight="1" spans="1:40">
      <c r="A909" s="101"/>
      <c r="B909" s="7"/>
      <c r="C909" s="101"/>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row>
    <row r="910" customHeight="1" spans="1:40">
      <c r="A910" s="101"/>
      <c r="B910" s="7"/>
      <c r="C910" s="101"/>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row>
    <row r="911" customHeight="1" spans="1:40">
      <c r="A911" s="101"/>
      <c r="B911" s="7"/>
      <c r="C911" s="101"/>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row>
    <row r="912" customHeight="1" spans="1:40">
      <c r="A912" s="101"/>
      <c r="B912" s="7"/>
      <c r="C912" s="101"/>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row>
    <row r="913" customHeight="1" spans="1:40">
      <c r="A913" s="101"/>
      <c r="B913" s="7"/>
      <c r="C913" s="101"/>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row>
    <row r="914" customHeight="1" spans="1:40">
      <c r="A914" s="101"/>
      <c r="B914" s="7"/>
      <c r="C914" s="101"/>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row>
    <row r="915" customHeight="1" spans="1:40">
      <c r="A915" s="101"/>
      <c r="B915" s="7"/>
      <c r="C915" s="101"/>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row>
    <row r="916" customHeight="1" spans="1:40">
      <c r="A916" s="101"/>
      <c r="B916" s="7"/>
      <c r="C916" s="101"/>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row>
    <row r="917" customHeight="1" spans="1:40">
      <c r="A917" s="101"/>
      <c r="B917" s="7"/>
      <c r="C917" s="101"/>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row>
    <row r="918" customHeight="1" spans="1:40">
      <c r="A918" s="101"/>
      <c r="B918" s="7"/>
      <c r="C918" s="101"/>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row>
    <row r="919" customHeight="1" spans="1:40">
      <c r="A919" s="101"/>
      <c r="B919" s="7"/>
      <c r="C919" s="101"/>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row>
    <row r="920" customHeight="1" spans="1:40">
      <c r="A920" s="101"/>
      <c r="B920" s="7"/>
      <c r="C920" s="101"/>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row>
    <row r="921" customHeight="1" spans="1:40">
      <c r="A921" s="101"/>
      <c r="B921" s="7"/>
      <c r="C921" s="101"/>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row>
    <row r="922" customHeight="1" spans="1:40">
      <c r="A922" s="101"/>
      <c r="B922" s="7"/>
      <c r="C922" s="101"/>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row>
    <row r="923" customHeight="1" spans="1:40">
      <c r="A923" s="101"/>
      <c r="B923" s="7"/>
      <c r="C923" s="101"/>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row>
    <row r="924" customHeight="1" spans="1:40">
      <c r="A924" s="101"/>
      <c r="B924" s="7"/>
      <c r="C924" s="101"/>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row>
    <row r="925" customHeight="1" spans="1:40">
      <c r="A925" s="101"/>
      <c r="B925" s="7"/>
      <c r="C925" s="101"/>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row>
    <row r="926" customHeight="1" spans="1:40">
      <c r="A926" s="101"/>
      <c r="B926" s="7"/>
      <c r="C926" s="101"/>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row>
    <row r="927" customHeight="1" spans="1:40">
      <c r="A927" s="101"/>
      <c r="B927" s="7"/>
      <c r="C927" s="101"/>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row>
    <row r="928" customHeight="1" spans="1:40">
      <c r="A928" s="101"/>
      <c r="B928" s="7"/>
      <c r="C928" s="101"/>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row>
    <row r="929" customHeight="1" spans="1:40">
      <c r="A929" s="101"/>
      <c r="B929" s="7"/>
      <c r="C929" s="101"/>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row>
    <row r="930" customHeight="1" spans="1:40">
      <c r="A930" s="101"/>
      <c r="B930" s="7"/>
      <c r="C930" s="101"/>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row>
    <row r="931" customHeight="1" spans="1:40">
      <c r="A931" s="101"/>
      <c r="B931" s="7"/>
      <c r="C931" s="101"/>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row>
    <row r="932" customHeight="1" spans="1:40">
      <c r="A932" s="101"/>
      <c r="B932" s="7"/>
      <c r="C932" s="101"/>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row>
    <row r="933" customHeight="1" spans="1:40">
      <c r="A933" s="101"/>
      <c r="B933" s="7"/>
      <c r="C933" s="101"/>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row>
    <row r="934" customHeight="1" spans="1:40">
      <c r="A934" s="101"/>
      <c r="B934" s="7"/>
      <c r="C934" s="101"/>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row>
    <row r="935" customHeight="1" spans="1:40">
      <c r="A935" s="101"/>
      <c r="B935" s="7"/>
      <c r="C935" s="101"/>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row>
    <row r="936" customHeight="1" spans="1:40">
      <c r="A936" s="101"/>
      <c r="B936" s="7"/>
      <c r="C936" s="101"/>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row>
    <row r="937" customHeight="1" spans="1:40">
      <c r="A937" s="101"/>
      <c r="B937" s="7"/>
      <c r="C937" s="101"/>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row>
    <row r="938" customHeight="1" spans="1:40">
      <c r="A938" s="101"/>
      <c r="B938" s="7"/>
      <c r="C938" s="101"/>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row>
    <row r="939" customHeight="1" spans="1:40">
      <c r="A939" s="101"/>
      <c r="B939" s="7"/>
      <c r="C939" s="101"/>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row>
    <row r="940" customHeight="1" spans="1:40">
      <c r="A940" s="101"/>
      <c r="B940" s="7"/>
      <c r="C940" s="101"/>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row>
    <row r="941" customHeight="1" spans="1:40">
      <c r="A941" s="101"/>
      <c r="B941" s="7"/>
      <c r="C941" s="101"/>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row>
    <row r="942" customHeight="1" spans="1:40">
      <c r="A942" s="101"/>
      <c r="B942" s="7"/>
      <c r="C942" s="101"/>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row>
    <row r="943" customHeight="1" spans="1:40">
      <c r="A943" s="101"/>
      <c r="B943" s="7"/>
      <c r="C943" s="101"/>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row>
    <row r="944" customHeight="1" spans="1:40">
      <c r="A944" s="101"/>
      <c r="B944" s="7"/>
      <c r="C944" s="101"/>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row>
    <row r="945" customHeight="1" spans="1:40">
      <c r="A945" s="101"/>
      <c r="B945" s="7"/>
      <c r="C945" s="101"/>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row>
    <row r="946" customHeight="1" spans="1:40">
      <c r="A946" s="101"/>
      <c r="B946" s="7"/>
      <c r="C946" s="101"/>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row>
    <row r="947" customHeight="1" spans="1:40">
      <c r="A947" s="101"/>
      <c r="B947" s="7"/>
      <c r="C947" s="101"/>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row>
    <row r="948" customHeight="1" spans="1:40">
      <c r="A948" s="101"/>
      <c r="B948" s="7"/>
      <c r="C948" s="101"/>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row>
    <row r="949" customHeight="1" spans="1:40">
      <c r="A949" s="101"/>
      <c r="B949" s="7"/>
      <c r="C949" s="101"/>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row>
    <row r="950" customHeight="1" spans="1:40">
      <c r="A950" s="101"/>
      <c r="B950" s="7"/>
      <c r="C950" s="101"/>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row>
    <row r="951" customHeight="1" spans="1:40">
      <c r="A951" s="101"/>
      <c r="B951" s="7"/>
      <c r="C951" s="101"/>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row>
    <row r="952" customHeight="1" spans="1:40">
      <c r="A952" s="101"/>
      <c r="B952" s="7"/>
      <c r="C952" s="101"/>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row>
    <row r="953" customHeight="1" spans="1:40">
      <c r="A953" s="101"/>
      <c r="B953" s="7"/>
      <c r="C953" s="101"/>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row>
  </sheetData>
  <conditionalFormatting sqref="C11:C13">
    <cfRule type="cellIs" dxfId="2" priority="1" operator="equal">
      <formula>"OS"</formula>
    </cfRule>
    <cfRule type="cellIs" dxfId="3" priority="2" operator="equal">
      <formula>"Contacted 1"</formula>
    </cfRule>
    <cfRule type="cellIs" dxfId="3" priority="3" operator="equal">
      <formula>"Msgd"</formula>
    </cfRule>
    <cfRule type="cellIs" dxfId="4" priority="4" operator="equal">
      <formula>"Accepted"</formula>
    </cfRule>
    <cfRule type="cellIs" dxfId="5" priority="5" operator="equal">
      <formula>"Contacted 2"</formula>
    </cfRule>
    <cfRule type="cellIs" dxfId="6" priority="6" operator="equal">
      <formula>"Msgd 2"</formula>
    </cfRule>
    <cfRule type="cellIs" dxfId="7" priority="7" operator="equal">
      <formula>"Msgd FB"</formula>
    </cfRule>
    <cfRule type="cellIs" dxfId="1" priority="8" operator="equal">
      <formula>"Trying"</formula>
    </cfRule>
    <cfRule type="cellIs" dxfId="8" priority="9" operator="equal">
      <formula>"Dead"</formula>
    </cfRule>
    <cfRule type="cellIs" dxfId="9" priority="10" operator="equal">
      <formula>"Msgd Web"</formula>
    </cfRule>
    <cfRule type="cellIs" dxfId="10" priority="11" operator="equal">
      <formula>"Phoned"</formula>
    </cfRule>
  </conditionalFormatting>
  <conditionalFormatting sqref="C3:C10 C14:C953">
    <cfRule type="cellIs" dxfId="2" priority="12" operator="equal">
      <formula>"OS"</formula>
    </cfRule>
    <cfRule type="cellIs" dxfId="3" priority="13" operator="equal">
      <formula>"Contacted 1"</formula>
    </cfRule>
    <cfRule type="cellIs" dxfId="3" priority="14" operator="equal">
      <formula>"Msgd"</formula>
    </cfRule>
    <cfRule type="cellIs" dxfId="4" priority="15" operator="equal">
      <formula>"Accepted"</formula>
    </cfRule>
    <cfRule type="cellIs" dxfId="5" priority="16" operator="equal">
      <formula>"Contacted 2"</formula>
    </cfRule>
    <cfRule type="cellIs" dxfId="6" priority="17" operator="equal">
      <formula>"Msgd 2"</formula>
    </cfRule>
    <cfRule type="cellIs" dxfId="7" priority="18" operator="equal">
      <formula>"Msgd FB"</formula>
    </cfRule>
    <cfRule type="cellIs" dxfId="1" priority="19" operator="equal">
      <formula>"Trying"</formula>
    </cfRule>
    <cfRule type="cellIs" dxfId="8" priority="20" operator="equal">
      <formula>"Dead"</formula>
    </cfRule>
    <cfRule type="cellIs" dxfId="9" priority="21" operator="equal">
      <formula>"Msgd Web"</formula>
    </cfRule>
    <cfRule type="cellIs" dxfId="10" priority="22" operator="equal">
      <formula>"Phoned"</formula>
    </cfRule>
  </conditionalFormatting>
  <dataValidations count="3">
    <dataValidation type="list" allowBlank="1" showErrorMessage="1" sqref="Y3 Y10 Y13 F4:F9 F11:F12 F14:F953">
      <formula1>Area</formula1>
    </dataValidation>
    <dataValidation type="list" allowBlank="1" showErrorMessage="1" sqref="B3:B21">
      <formula1>Alias</formula1>
    </dataValidation>
    <dataValidation type="list" allowBlank="1" showErrorMessage="1" sqref="C3:C953">
      <formula1>Status</formula1>
    </dataValidation>
  </dataValidations>
  <hyperlinks>
    <hyperlink ref="N5" r:id="rId1" display="https://www.facebook.com/media/set/?set=a.102382736468423.1281.100000900915389&amp;type=3"/>
    <hyperlink ref="N6" r:id="rId2" display="https://www.facebook.com/p/Fullworth-Properties-Realty-100064630377086/"/>
    <hyperlink ref="N7" r:id="rId3" display="https://www.facebook.com/profile.php?id=100066808142439&amp;mibextid=LQQJ4d"/>
    <hyperlink ref="N10" r:id="rId4" display="https://www.facebook.com/MaturanRealty/"/>
    <hyperlink ref="N12" r:id="rId5" display="https://www.facebook.com/profile.php?id=100076220557970"/>
    <hyperlink ref="O13" r:id="rId6" display="https://vestmorerealty.com/"/>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H1004"/>
  <sheetViews>
    <sheetView workbookViewId="0">
      <pane xSplit="1" ySplit="1" topLeftCell="B2" activePane="bottomRight" state="frozen"/>
      <selection/>
      <selection pane="topRight"/>
      <selection pane="bottomLeft"/>
      <selection pane="bottomRight" activeCell="B2" sqref="B2"/>
    </sheetView>
  </sheetViews>
  <sheetFormatPr defaultColWidth="12.6272727272727" defaultRowHeight="15.75" customHeight="1"/>
  <cols>
    <col min="1" max="1" width="40.7545454545455" customWidth="1"/>
    <col min="2" max="2" width="18.8818181818182" customWidth="1"/>
    <col min="3" max="3" width="14.1272727272727" customWidth="1"/>
    <col min="4" max="4" width="49.7545454545455" customWidth="1"/>
    <col min="7" max="12" width="30.6272727272727" customWidth="1"/>
  </cols>
  <sheetData>
    <row r="1" customHeight="1" spans="1:34">
      <c r="A1" s="40" t="s">
        <v>740</v>
      </c>
      <c r="B1" s="35" t="s">
        <v>502</v>
      </c>
      <c r="C1" s="35" t="s">
        <v>741</v>
      </c>
      <c r="D1" s="41" t="s">
        <v>742</v>
      </c>
      <c r="E1" s="35" t="s">
        <v>4</v>
      </c>
      <c r="F1" s="35" t="s">
        <v>743</v>
      </c>
      <c r="G1" s="42" t="s">
        <v>744</v>
      </c>
      <c r="H1" s="42" t="s">
        <v>10</v>
      </c>
      <c r="I1" s="42" t="s">
        <v>12</v>
      </c>
      <c r="J1" s="42" t="s">
        <v>17</v>
      </c>
      <c r="K1" s="42" t="s">
        <v>745</v>
      </c>
      <c r="L1" s="42" t="s">
        <v>746</v>
      </c>
      <c r="M1" s="36"/>
      <c r="N1" s="36"/>
      <c r="O1" s="36"/>
      <c r="P1" s="36"/>
      <c r="Q1" s="36"/>
      <c r="R1" s="36"/>
      <c r="S1" s="36"/>
      <c r="T1" s="36"/>
      <c r="U1" s="36"/>
      <c r="V1" s="36"/>
      <c r="W1" s="36"/>
      <c r="X1" s="36"/>
      <c r="Y1" s="36"/>
      <c r="Z1" s="36"/>
      <c r="AA1" s="36"/>
      <c r="AB1" s="36"/>
      <c r="AC1" s="36"/>
      <c r="AD1" s="36"/>
      <c r="AE1" s="36"/>
      <c r="AF1" s="36"/>
      <c r="AG1" s="36"/>
      <c r="AH1" s="36"/>
    </row>
    <row r="2" customHeight="1" spans="1:12">
      <c r="A2" s="43" t="s">
        <v>747</v>
      </c>
      <c r="B2" s="9" t="s">
        <v>519</v>
      </c>
      <c r="D2" s="44"/>
      <c r="G2" s="45"/>
      <c r="H2" s="45"/>
      <c r="I2" s="45"/>
      <c r="J2" s="45"/>
      <c r="K2" s="45"/>
      <c r="L2" s="45"/>
    </row>
    <row r="3" customHeight="1" spans="1:12">
      <c r="A3" s="43" t="s">
        <v>748</v>
      </c>
      <c r="B3" s="9" t="s">
        <v>519</v>
      </c>
      <c r="D3" s="44"/>
      <c r="G3" s="45"/>
      <c r="H3" s="45"/>
      <c r="I3" s="45"/>
      <c r="J3" s="45"/>
      <c r="K3" s="45"/>
      <c r="L3" s="45"/>
    </row>
    <row r="4" customHeight="1" spans="1:12">
      <c r="A4" s="43" t="s">
        <v>749</v>
      </c>
      <c r="B4" s="9" t="s">
        <v>519</v>
      </c>
      <c r="C4" s="9">
        <v>1100</v>
      </c>
      <c r="D4" s="44" t="s">
        <v>750</v>
      </c>
      <c r="G4" s="45"/>
      <c r="H4" s="45"/>
      <c r="I4" s="45"/>
      <c r="J4" s="45"/>
      <c r="K4" s="45"/>
      <c r="L4" s="45"/>
    </row>
    <row r="5" customHeight="1" spans="1:12">
      <c r="A5" s="43" t="s">
        <v>751</v>
      </c>
      <c r="B5" s="9" t="s">
        <v>519</v>
      </c>
      <c r="D5" s="44"/>
      <c r="G5" s="45"/>
      <c r="H5" s="45"/>
      <c r="I5" s="45"/>
      <c r="J5" s="45"/>
      <c r="K5" s="45"/>
      <c r="L5" s="45"/>
    </row>
    <row r="6" customHeight="1" spans="1:12">
      <c r="A6" s="43" t="s">
        <v>752</v>
      </c>
      <c r="B6" s="9" t="s">
        <v>519</v>
      </c>
      <c r="D6" s="44"/>
      <c r="G6" s="45"/>
      <c r="H6" s="45"/>
      <c r="I6" s="45"/>
      <c r="J6" s="45"/>
      <c r="K6" s="45"/>
      <c r="L6" s="45"/>
    </row>
    <row r="7" customHeight="1" spans="1:12">
      <c r="A7" s="43" t="s">
        <v>753</v>
      </c>
      <c r="B7" s="9" t="s">
        <v>519</v>
      </c>
      <c r="D7" s="44"/>
      <c r="G7" s="45"/>
      <c r="H7" s="45"/>
      <c r="I7" s="45"/>
      <c r="J7" s="45"/>
      <c r="K7" s="45"/>
      <c r="L7" s="45"/>
    </row>
    <row r="8" customHeight="1" spans="1:12">
      <c r="A8" s="46" t="s">
        <v>754</v>
      </c>
      <c r="B8" s="9" t="s">
        <v>519</v>
      </c>
      <c r="C8" s="9"/>
      <c r="D8" s="44" t="s">
        <v>755</v>
      </c>
      <c r="G8" s="45"/>
      <c r="H8" s="45"/>
      <c r="I8" s="45"/>
      <c r="J8" s="45"/>
      <c r="K8" s="45"/>
      <c r="L8" s="45"/>
    </row>
    <row r="9" customHeight="1" spans="1:12">
      <c r="A9" s="43" t="s">
        <v>756</v>
      </c>
      <c r="B9" s="9" t="s">
        <v>519</v>
      </c>
      <c r="D9" s="44"/>
      <c r="G9" s="45"/>
      <c r="H9" s="45"/>
      <c r="I9" s="45"/>
      <c r="J9" s="45"/>
      <c r="K9" s="45"/>
      <c r="L9" s="45"/>
    </row>
    <row r="10" customHeight="1" spans="1:12">
      <c r="A10" s="43" t="s">
        <v>757</v>
      </c>
      <c r="B10" s="9" t="s">
        <v>519</v>
      </c>
      <c r="D10" s="44"/>
      <c r="G10" s="45"/>
      <c r="H10" s="45"/>
      <c r="I10" s="45"/>
      <c r="J10" s="45"/>
      <c r="K10" s="45"/>
      <c r="L10" s="45"/>
    </row>
    <row r="11" customHeight="1" spans="1:12">
      <c r="A11" s="43" t="s">
        <v>758</v>
      </c>
      <c r="B11" s="9" t="s">
        <v>519</v>
      </c>
      <c r="D11" s="44"/>
      <c r="G11" s="45"/>
      <c r="H11" s="45"/>
      <c r="I11" s="45"/>
      <c r="J11" s="45"/>
      <c r="K11" s="45"/>
      <c r="L11" s="45"/>
    </row>
    <row r="12" customHeight="1" spans="1:12">
      <c r="A12" s="43" t="s">
        <v>759</v>
      </c>
      <c r="B12" s="9" t="s">
        <v>519</v>
      </c>
      <c r="D12" s="44"/>
      <c r="G12" s="45"/>
      <c r="H12" s="45"/>
      <c r="I12" s="45"/>
      <c r="J12" s="45"/>
      <c r="K12" s="45"/>
      <c r="L12" s="45"/>
    </row>
    <row r="13" customHeight="1" spans="1:12">
      <c r="A13" s="43" t="s">
        <v>760</v>
      </c>
      <c r="B13" s="9" t="s">
        <v>519</v>
      </c>
      <c r="D13" s="44"/>
      <c r="G13" s="45"/>
      <c r="H13" s="45"/>
      <c r="I13" s="45"/>
      <c r="J13" s="45"/>
      <c r="K13" s="45"/>
      <c r="L13" s="45"/>
    </row>
    <row r="14" customHeight="1" spans="1:12">
      <c r="A14" s="43" t="s">
        <v>761</v>
      </c>
      <c r="B14" s="9" t="s">
        <v>519</v>
      </c>
      <c r="D14" s="44"/>
      <c r="G14" s="45"/>
      <c r="H14" s="45"/>
      <c r="I14" s="45"/>
      <c r="J14" s="45"/>
      <c r="K14" s="45"/>
      <c r="L14" s="45"/>
    </row>
    <row r="15" customHeight="1" spans="1:12">
      <c r="A15" s="43" t="s">
        <v>762</v>
      </c>
      <c r="B15" s="9" t="s">
        <v>519</v>
      </c>
      <c r="D15" s="44"/>
      <c r="G15" s="45"/>
      <c r="H15" s="45"/>
      <c r="I15" s="45"/>
      <c r="J15" s="45"/>
      <c r="K15" s="45"/>
      <c r="L15" s="45"/>
    </row>
    <row r="16" customHeight="1" spans="1:12">
      <c r="A16" s="43" t="s">
        <v>763</v>
      </c>
      <c r="B16" s="9" t="s">
        <v>519</v>
      </c>
      <c r="D16" s="44"/>
      <c r="G16" s="45"/>
      <c r="H16" s="45"/>
      <c r="I16" s="45"/>
      <c r="J16" s="45"/>
      <c r="K16" s="45"/>
      <c r="L16" s="45"/>
    </row>
    <row r="17" customHeight="1" spans="1:12">
      <c r="A17" s="43" t="s">
        <v>764</v>
      </c>
      <c r="B17" s="9" t="s">
        <v>519</v>
      </c>
      <c r="D17" s="44"/>
      <c r="G17" s="45"/>
      <c r="H17" s="45"/>
      <c r="I17" s="45"/>
      <c r="J17" s="45"/>
      <c r="K17" s="45"/>
      <c r="L17" s="45"/>
    </row>
    <row r="18" customHeight="1" spans="1:12">
      <c r="A18" s="43" t="s">
        <v>765</v>
      </c>
      <c r="B18" s="9" t="s">
        <v>519</v>
      </c>
      <c r="D18" s="44"/>
      <c r="G18" s="45"/>
      <c r="H18" s="45"/>
      <c r="I18" s="45"/>
      <c r="J18" s="45"/>
      <c r="K18" s="45"/>
      <c r="L18" s="45"/>
    </row>
    <row r="19" customHeight="1" spans="1:12">
      <c r="A19" s="43" t="s">
        <v>766</v>
      </c>
      <c r="B19" s="9" t="s">
        <v>519</v>
      </c>
      <c r="D19" s="44"/>
      <c r="G19" s="45"/>
      <c r="H19" s="45"/>
      <c r="I19" s="45"/>
      <c r="J19" s="45"/>
      <c r="K19" s="45"/>
      <c r="L19" s="45"/>
    </row>
    <row r="20" customHeight="1" spans="1:12">
      <c r="A20" s="43" t="s">
        <v>767</v>
      </c>
      <c r="B20" s="9" t="s">
        <v>519</v>
      </c>
      <c r="D20" s="44"/>
      <c r="G20" s="45"/>
      <c r="H20" s="45"/>
      <c r="I20" s="45"/>
      <c r="J20" s="45"/>
      <c r="K20" s="45"/>
      <c r="L20" s="45"/>
    </row>
    <row r="21" customHeight="1" spans="1:12">
      <c r="A21" s="43" t="s">
        <v>768</v>
      </c>
      <c r="B21" s="9" t="s">
        <v>519</v>
      </c>
      <c r="D21" s="44"/>
      <c r="G21" s="45"/>
      <c r="H21" s="45"/>
      <c r="I21" s="45"/>
      <c r="J21" s="45"/>
      <c r="K21" s="45"/>
      <c r="L21" s="45"/>
    </row>
    <row r="22" customHeight="1" spans="1:12">
      <c r="A22" s="43" t="s">
        <v>769</v>
      </c>
      <c r="B22" s="9" t="s">
        <v>519</v>
      </c>
      <c r="D22" s="44"/>
      <c r="G22" s="45"/>
      <c r="H22" s="45"/>
      <c r="I22" s="45"/>
      <c r="J22" s="45"/>
      <c r="K22" s="45"/>
      <c r="L22" s="45"/>
    </row>
    <row r="23" customHeight="1" spans="1:12">
      <c r="A23" s="43" t="s">
        <v>770</v>
      </c>
      <c r="B23" s="9" t="s">
        <v>519</v>
      </c>
      <c r="D23" s="44"/>
      <c r="G23" s="45"/>
      <c r="H23" s="45"/>
      <c r="I23" s="45"/>
      <c r="J23" s="45"/>
      <c r="K23" s="45"/>
      <c r="L23" s="45"/>
    </row>
    <row r="24" customHeight="1" spans="1:12">
      <c r="A24" s="43" t="s">
        <v>771</v>
      </c>
      <c r="B24" s="9" t="s">
        <v>519</v>
      </c>
      <c r="D24" s="44"/>
      <c r="G24" s="45"/>
      <c r="H24" s="45"/>
      <c r="I24" s="45"/>
      <c r="J24" s="45"/>
      <c r="K24" s="45"/>
      <c r="L24" s="45"/>
    </row>
    <row r="25" customHeight="1" spans="1:12">
      <c r="A25" s="43" t="s">
        <v>772</v>
      </c>
      <c r="B25" s="9" t="s">
        <v>519</v>
      </c>
      <c r="C25" s="47"/>
      <c r="D25" s="48" t="s">
        <v>773</v>
      </c>
      <c r="G25" s="45"/>
      <c r="H25" s="45"/>
      <c r="I25" s="45"/>
      <c r="J25" s="45"/>
      <c r="K25" s="45"/>
      <c r="L25" s="45"/>
    </row>
    <row r="26" customHeight="1" spans="1:12">
      <c r="A26" s="49" t="s">
        <v>774</v>
      </c>
      <c r="B26" s="9"/>
      <c r="C26" s="9">
        <v>303</v>
      </c>
      <c r="D26" s="44"/>
      <c r="E26" s="50"/>
      <c r="F26" s="50"/>
      <c r="G26" s="49"/>
      <c r="H26" s="49"/>
      <c r="I26" s="49"/>
      <c r="J26" s="49"/>
      <c r="K26" s="49"/>
      <c r="L26" s="49" t="s">
        <v>774</v>
      </c>
    </row>
    <row r="27" customHeight="1" spans="1:12">
      <c r="A27" s="51" t="s">
        <v>775</v>
      </c>
      <c r="B27" s="9" t="s">
        <v>519</v>
      </c>
      <c r="D27" s="44"/>
      <c r="G27" s="45"/>
      <c r="H27" s="45"/>
      <c r="I27" s="45"/>
      <c r="J27" s="45"/>
      <c r="K27" s="45"/>
      <c r="L27" s="45"/>
    </row>
    <row r="28" customHeight="1" spans="1:12">
      <c r="A28" s="52" t="s">
        <v>774</v>
      </c>
      <c r="B28" s="9" t="s">
        <v>519</v>
      </c>
      <c r="D28" s="44"/>
      <c r="G28" s="45"/>
      <c r="H28" s="45"/>
      <c r="I28" s="45"/>
      <c r="J28" s="45"/>
      <c r="K28" s="45"/>
      <c r="L28" s="45"/>
    </row>
    <row r="29" customHeight="1" spans="1:12">
      <c r="A29" s="53" t="s">
        <v>776</v>
      </c>
      <c r="B29" s="9"/>
      <c r="D29" s="44"/>
      <c r="G29" s="45"/>
      <c r="H29" s="45"/>
      <c r="I29" s="45"/>
      <c r="J29" s="45"/>
      <c r="K29" s="45"/>
      <c r="L29" s="45"/>
    </row>
    <row r="30" customHeight="1" spans="1:12">
      <c r="A30" s="43" t="s">
        <v>777</v>
      </c>
      <c r="B30" s="9" t="s">
        <v>519</v>
      </c>
      <c r="D30" s="44"/>
      <c r="G30" s="45"/>
      <c r="H30" s="45"/>
      <c r="I30" s="45"/>
      <c r="J30" s="45"/>
      <c r="K30" s="45"/>
      <c r="L30" s="45"/>
    </row>
    <row r="31" customHeight="1" spans="1:12">
      <c r="A31" s="43" t="s">
        <v>778</v>
      </c>
      <c r="B31" s="9" t="s">
        <v>519</v>
      </c>
      <c r="D31" s="44"/>
      <c r="G31" s="45"/>
      <c r="H31" s="45"/>
      <c r="I31" s="45"/>
      <c r="J31" s="45"/>
      <c r="K31" s="45"/>
      <c r="L31" s="45"/>
    </row>
    <row r="32" customHeight="1" spans="1:12">
      <c r="A32" s="43" t="s">
        <v>779</v>
      </c>
      <c r="B32" s="9" t="s">
        <v>519</v>
      </c>
      <c r="D32" s="44"/>
      <c r="G32" s="45"/>
      <c r="H32" s="45"/>
      <c r="I32" s="45"/>
      <c r="J32" s="45"/>
      <c r="K32" s="45"/>
      <c r="L32" s="45"/>
    </row>
    <row r="33" customHeight="1" spans="1:12">
      <c r="A33" s="43" t="s">
        <v>780</v>
      </c>
      <c r="B33" s="9" t="s">
        <v>519</v>
      </c>
      <c r="D33" s="44"/>
      <c r="G33" s="45"/>
      <c r="H33" s="45"/>
      <c r="I33" s="45"/>
      <c r="J33" s="45"/>
      <c r="K33" s="45"/>
      <c r="L33" s="45"/>
    </row>
    <row r="34" customHeight="1" spans="1:12">
      <c r="A34" s="43" t="s">
        <v>781</v>
      </c>
      <c r="B34" s="9" t="s">
        <v>519</v>
      </c>
      <c r="D34" s="44"/>
      <c r="G34" s="45"/>
      <c r="H34" s="45"/>
      <c r="I34" s="45"/>
      <c r="J34" s="45"/>
      <c r="K34" s="45"/>
      <c r="L34" s="45"/>
    </row>
    <row r="35" customHeight="1" spans="1:12">
      <c r="A35" s="54" t="s">
        <v>782</v>
      </c>
      <c r="B35" s="9" t="s">
        <v>509</v>
      </c>
      <c r="C35" s="9">
        <v>87000</v>
      </c>
      <c r="D35" s="44"/>
      <c r="G35" s="45"/>
      <c r="H35" s="45"/>
      <c r="I35" s="45"/>
      <c r="J35" s="45"/>
      <c r="K35" s="45"/>
      <c r="L35" s="45"/>
    </row>
    <row r="36" customHeight="1" spans="1:12">
      <c r="A36" s="45" t="s">
        <v>783</v>
      </c>
      <c r="B36" s="9" t="s">
        <v>509</v>
      </c>
      <c r="C36" s="9">
        <v>5000</v>
      </c>
      <c r="D36" s="44"/>
      <c r="G36" s="45"/>
      <c r="H36" s="45"/>
      <c r="I36" s="45"/>
      <c r="J36" s="45"/>
      <c r="K36" s="45"/>
      <c r="L36" s="45"/>
    </row>
    <row r="37" customHeight="1" spans="1:12">
      <c r="A37" s="45" t="s">
        <v>784</v>
      </c>
      <c r="B37" s="9" t="s">
        <v>225</v>
      </c>
      <c r="C37" s="9">
        <v>54000</v>
      </c>
      <c r="D37" s="44"/>
      <c r="E37" s="9"/>
      <c r="F37" s="9"/>
      <c r="G37" s="45"/>
      <c r="H37" s="45"/>
      <c r="I37" s="45"/>
      <c r="J37" s="45"/>
      <c r="K37" s="45"/>
      <c r="L37" s="45" t="s">
        <v>592</v>
      </c>
    </row>
    <row r="38" customHeight="1" spans="1:12">
      <c r="A38" s="45" t="s">
        <v>785</v>
      </c>
      <c r="B38" s="9" t="s">
        <v>515</v>
      </c>
      <c r="D38" s="44" t="s">
        <v>786</v>
      </c>
      <c r="G38" s="45"/>
      <c r="H38" s="45"/>
      <c r="I38" s="45"/>
      <c r="J38" s="45"/>
      <c r="K38" s="45"/>
      <c r="L38" s="45"/>
    </row>
    <row r="39" customHeight="1" spans="1:12">
      <c r="A39" s="55" t="s">
        <v>787</v>
      </c>
      <c r="B39" s="9" t="s">
        <v>519</v>
      </c>
      <c r="C39" s="9">
        <v>5000</v>
      </c>
      <c r="D39" s="44"/>
      <c r="G39" s="45"/>
      <c r="H39" s="45"/>
      <c r="I39" s="45"/>
      <c r="J39" s="45"/>
      <c r="K39" s="45"/>
      <c r="L39" s="45"/>
    </row>
    <row r="40" customHeight="1" spans="1:12">
      <c r="A40" s="55" t="s">
        <v>788</v>
      </c>
      <c r="B40" s="9" t="s">
        <v>225</v>
      </c>
      <c r="D40" s="44"/>
      <c r="G40" s="45"/>
      <c r="H40" s="45"/>
      <c r="I40" s="45"/>
      <c r="J40" s="45"/>
      <c r="K40" s="45"/>
      <c r="L40" s="45"/>
    </row>
    <row r="41" customHeight="1" spans="1:12">
      <c r="A41" s="56" t="s">
        <v>789</v>
      </c>
      <c r="B41" s="9" t="s">
        <v>225</v>
      </c>
      <c r="D41" s="44"/>
      <c r="E41" s="57"/>
      <c r="F41" s="58"/>
      <c r="G41" s="56"/>
      <c r="H41" s="56"/>
      <c r="I41" s="56"/>
      <c r="J41" s="56"/>
      <c r="K41" s="56"/>
      <c r="L41" s="56" t="s">
        <v>790</v>
      </c>
    </row>
    <row r="42" customHeight="1" spans="1:12">
      <c r="A42" s="56" t="s">
        <v>791</v>
      </c>
      <c r="B42" s="9" t="s">
        <v>225</v>
      </c>
      <c r="E42" s="57"/>
      <c r="F42" s="58"/>
      <c r="G42" s="56"/>
      <c r="H42" s="56"/>
      <c r="I42" s="56"/>
      <c r="J42" s="56"/>
      <c r="K42" s="56"/>
      <c r="L42" s="56" t="s">
        <v>792</v>
      </c>
    </row>
    <row r="43" customHeight="1" spans="1:12">
      <c r="A43" s="56" t="s">
        <v>793</v>
      </c>
      <c r="B43" s="9" t="s">
        <v>225</v>
      </c>
      <c r="E43" s="57"/>
      <c r="F43" s="58"/>
      <c r="G43" s="56"/>
      <c r="H43" s="56"/>
      <c r="I43" s="56"/>
      <c r="J43" s="56"/>
      <c r="K43" s="56"/>
      <c r="L43" s="56" t="s">
        <v>790</v>
      </c>
    </row>
    <row r="44" customHeight="1" spans="1:12">
      <c r="A44" s="56" t="s">
        <v>794</v>
      </c>
      <c r="B44" s="9" t="s">
        <v>225</v>
      </c>
      <c r="E44" s="57"/>
      <c r="F44" s="58"/>
      <c r="G44" s="56"/>
      <c r="H44" s="56"/>
      <c r="I44" s="56"/>
      <c r="J44" s="56"/>
      <c r="K44" s="56"/>
      <c r="L44" s="56" t="s">
        <v>790</v>
      </c>
    </row>
    <row r="45" customHeight="1" spans="1:12">
      <c r="A45" s="56" t="s">
        <v>795</v>
      </c>
      <c r="B45" s="9" t="s">
        <v>225</v>
      </c>
      <c r="E45" s="57"/>
      <c r="F45" s="58"/>
      <c r="G45" s="56"/>
      <c r="H45" s="56"/>
      <c r="I45" s="56"/>
      <c r="J45" s="56"/>
      <c r="K45" s="56"/>
      <c r="L45" s="56" t="s">
        <v>795</v>
      </c>
    </row>
    <row r="46" customHeight="1" spans="1:12">
      <c r="A46" s="56" t="s">
        <v>796</v>
      </c>
      <c r="B46" s="9" t="s">
        <v>225</v>
      </c>
      <c r="E46" s="57"/>
      <c r="F46" s="58"/>
      <c r="G46" s="56"/>
      <c r="H46" s="56"/>
      <c r="I46" s="56"/>
      <c r="J46" s="56"/>
      <c r="K46" s="56"/>
      <c r="L46" s="56" t="s">
        <v>796</v>
      </c>
    </row>
    <row r="47" customHeight="1" spans="1:12">
      <c r="A47" s="56" t="s">
        <v>797</v>
      </c>
      <c r="B47" s="9" t="s">
        <v>225</v>
      </c>
      <c r="E47" s="57"/>
      <c r="F47" s="58"/>
      <c r="G47" s="56"/>
      <c r="H47" s="56"/>
      <c r="I47" s="56"/>
      <c r="J47" s="56"/>
      <c r="K47" s="56"/>
      <c r="L47" s="56" t="s">
        <v>798</v>
      </c>
    </row>
    <row r="48" customHeight="1" spans="1:12">
      <c r="A48" s="56" t="s">
        <v>799</v>
      </c>
      <c r="B48" s="9" t="s">
        <v>225</v>
      </c>
      <c r="E48" s="57"/>
      <c r="F48" s="58"/>
      <c r="G48" s="56"/>
      <c r="H48" s="56"/>
      <c r="I48" s="56"/>
      <c r="J48" s="56"/>
      <c r="K48" s="56"/>
      <c r="L48" s="56" t="s">
        <v>790</v>
      </c>
    </row>
    <row r="49" customHeight="1" spans="1:12">
      <c r="A49" s="56" t="s">
        <v>800</v>
      </c>
      <c r="B49" s="9" t="s">
        <v>225</v>
      </c>
      <c r="E49" s="57"/>
      <c r="F49" s="58"/>
      <c r="G49" s="56"/>
      <c r="H49" s="56"/>
      <c r="I49" s="56"/>
      <c r="J49" s="56"/>
      <c r="K49" s="56"/>
      <c r="L49" s="56" t="s">
        <v>800</v>
      </c>
    </row>
    <row r="50" customHeight="1" spans="1:12">
      <c r="A50" s="56" t="s">
        <v>801</v>
      </c>
      <c r="B50" s="9" t="s">
        <v>225</v>
      </c>
      <c r="E50" s="57"/>
      <c r="F50" s="58"/>
      <c r="G50" s="56"/>
      <c r="H50" s="56"/>
      <c r="I50" s="56"/>
      <c r="J50" s="56"/>
      <c r="K50" s="56"/>
      <c r="L50" s="56" t="s">
        <v>801</v>
      </c>
    </row>
    <row r="51" customHeight="1" spans="1:12">
      <c r="A51" s="56" t="s">
        <v>802</v>
      </c>
      <c r="B51" s="9" t="s">
        <v>225</v>
      </c>
      <c r="E51" s="57"/>
      <c r="F51" s="58"/>
      <c r="G51" s="56"/>
      <c r="H51" s="56"/>
      <c r="I51" s="56"/>
      <c r="J51" s="56"/>
      <c r="K51" s="56"/>
      <c r="L51" s="59" t="s">
        <v>803</v>
      </c>
    </row>
    <row r="52" customHeight="1" spans="1:12">
      <c r="A52" s="56" t="s">
        <v>804</v>
      </c>
      <c r="B52" s="9" t="s">
        <v>225</v>
      </c>
      <c r="E52" s="57"/>
      <c r="F52" s="58"/>
      <c r="G52" s="56"/>
      <c r="H52" s="56"/>
      <c r="I52" s="56"/>
      <c r="J52" s="56"/>
      <c r="K52" s="56"/>
      <c r="L52" s="56" t="s">
        <v>790</v>
      </c>
    </row>
    <row r="53" customHeight="1" spans="1:12">
      <c r="A53" s="56" t="s">
        <v>805</v>
      </c>
      <c r="B53" s="9" t="s">
        <v>225</v>
      </c>
      <c r="E53" s="57"/>
      <c r="F53" s="58"/>
      <c r="G53" s="56"/>
      <c r="H53" s="56"/>
      <c r="I53" s="56"/>
      <c r="J53" s="56"/>
      <c r="K53" s="56"/>
      <c r="L53" s="56" t="s">
        <v>790</v>
      </c>
    </row>
    <row r="54" customHeight="1" spans="1:12">
      <c r="A54" s="56" t="s">
        <v>806</v>
      </c>
      <c r="B54" s="9" t="s">
        <v>225</v>
      </c>
      <c r="E54" s="57"/>
      <c r="F54" s="58"/>
      <c r="G54" s="56"/>
      <c r="H54" s="56"/>
      <c r="I54" s="56"/>
      <c r="J54" s="56"/>
      <c r="K54" s="56"/>
      <c r="L54" s="56" t="s">
        <v>790</v>
      </c>
    </row>
    <row r="55" customHeight="1" spans="1:12">
      <c r="A55" s="56" t="s">
        <v>807</v>
      </c>
      <c r="B55" s="9" t="s">
        <v>225</v>
      </c>
      <c r="E55" s="57"/>
      <c r="F55" s="58"/>
      <c r="G55" s="56"/>
      <c r="H55" s="56"/>
      <c r="I55" s="56"/>
      <c r="J55" s="56"/>
      <c r="K55" s="56"/>
      <c r="L55" s="56" t="s">
        <v>790</v>
      </c>
    </row>
    <row r="56" customHeight="1" spans="1:12">
      <c r="A56" s="56" t="s">
        <v>808</v>
      </c>
      <c r="B56" s="9" t="s">
        <v>225</v>
      </c>
      <c r="E56" s="57"/>
      <c r="F56" s="58"/>
      <c r="G56" s="56"/>
      <c r="H56" s="56"/>
      <c r="I56" s="56"/>
      <c r="J56" s="56"/>
      <c r="K56" s="56"/>
      <c r="L56" s="56" t="s">
        <v>790</v>
      </c>
    </row>
    <row r="57" customHeight="1" spans="1:12">
      <c r="A57" s="56" t="s">
        <v>809</v>
      </c>
      <c r="B57" s="9" t="s">
        <v>225</v>
      </c>
      <c r="E57" s="57"/>
      <c r="F57" s="58"/>
      <c r="G57" s="56"/>
      <c r="H57" s="56"/>
      <c r="I57" s="56"/>
      <c r="J57" s="56"/>
      <c r="K57" s="56"/>
      <c r="L57" s="56" t="s">
        <v>790</v>
      </c>
    </row>
    <row r="58" customHeight="1" spans="1:12">
      <c r="A58" s="56" t="s">
        <v>810</v>
      </c>
      <c r="B58" s="9" t="s">
        <v>225</v>
      </c>
      <c r="E58" s="57"/>
      <c r="F58" s="58"/>
      <c r="G58" s="56"/>
      <c r="H58" s="56"/>
      <c r="I58" s="56"/>
      <c r="J58" s="56"/>
      <c r="K58" s="56"/>
      <c r="L58" s="56" t="s">
        <v>811</v>
      </c>
    </row>
    <row r="59" customHeight="1" spans="1:12">
      <c r="A59" s="56" t="s">
        <v>812</v>
      </c>
      <c r="B59" s="9" t="s">
        <v>225</v>
      </c>
      <c r="E59" s="57"/>
      <c r="F59" s="58"/>
      <c r="G59" s="56"/>
      <c r="H59" s="56"/>
      <c r="I59" s="56"/>
      <c r="J59" s="56"/>
      <c r="K59" s="56"/>
      <c r="L59" s="59" t="s">
        <v>813</v>
      </c>
    </row>
    <row r="60" customHeight="1" spans="1:12">
      <c r="A60" s="56" t="s">
        <v>814</v>
      </c>
      <c r="B60" s="9" t="s">
        <v>225</v>
      </c>
      <c r="E60" s="57"/>
      <c r="F60" s="58"/>
      <c r="G60" s="56"/>
      <c r="H60" s="56"/>
      <c r="I60" s="56"/>
      <c r="J60" s="56"/>
      <c r="K60" s="56"/>
      <c r="L60" s="59" t="s">
        <v>815</v>
      </c>
    </row>
    <row r="61" customHeight="1" spans="1:12">
      <c r="A61" s="56" t="s">
        <v>816</v>
      </c>
      <c r="B61" s="9" t="s">
        <v>225</v>
      </c>
      <c r="E61" s="57"/>
      <c r="F61" s="58"/>
      <c r="G61" s="56"/>
      <c r="H61" s="56"/>
      <c r="I61" s="56"/>
      <c r="J61" s="56"/>
      <c r="K61" s="56"/>
      <c r="L61" s="56" t="s">
        <v>817</v>
      </c>
    </row>
    <row r="62" customHeight="1" spans="1:12">
      <c r="A62" s="56" t="s">
        <v>807</v>
      </c>
      <c r="B62" s="9" t="s">
        <v>225</v>
      </c>
      <c r="E62" s="57"/>
      <c r="F62" s="58"/>
      <c r="G62" s="56"/>
      <c r="H62" s="56"/>
      <c r="I62" s="56"/>
      <c r="J62" s="56"/>
      <c r="K62" s="56"/>
      <c r="L62" s="56" t="s">
        <v>790</v>
      </c>
    </row>
    <row r="63" customHeight="1" spans="1:12">
      <c r="A63" s="56" t="s">
        <v>818</v>
      </c>
      <c r="B63" s="9" t="s">
        <v>225</v>
      </c>
      <c r="E63" s="57"/>
      <c r="F63" s="58"/>
      <c r="G63" s="56"/>
      <c r="H63" s="56"/>
      <c r="I63" s="56"/>
      <c r="J63" s="56"/>
      <c r="K63" s="56"/>
      <c r="L63" s="56" t="s">
        <v>790</v>
      </c>
    </row>
    <row r="64" customHeight="1" spans="1:12">
      <c r="A64" s="56" t="s">
        <v>819</v>
      </c>
      <c r="B64" s="9" t="s">
        <v>225</v>
      </c>
      <c r="E64" s="57"/>
      <c r="F64" s="58"/>
      <c r="G64" s="56"/>
      <c r="H64" s="56"/>
      <c r="I64" s="56"/>
      <c r="J64" s="56"/>
      <c r="K64" s="56"/>
      <c r="L64" s="59" t="s">
        <v>820</v>
      </c>
    </row>
    <row r="65" customHeight="1" spans="1:12">
      <c r="A65" s="56" t="s">
        <v>821</v>
      </c>
      <c r="B65" s="9" t="s">
        <v>225</v>
      </c>
      <c r="E65" s="57"/>
      <c r="F65" s="58"/>
      <c r="G65" s="56"/>
      <c r="H65" s="56"/>
      <c r="I65" s="56"/>
      <c r="J65" s="56"/>
      <c r="K65" s="56"/>
      <c r="L65" s="56" t="s">
        <v>822</v>
      </c>
    </row>
    <row r="66" customHeight="1" spans="1:12">
      <c r="A66" s="56" t="s">
        <v>823</v>
      </c>
      <c r="B66" s="9" t="s">
        <v>225</v>
      </c>
      <c r="E66" s="57"/>
      <c r="F66" s="58"/>
      <c r="G66" s="56"/>
      <c r="H66" s="56"/>
      <c r="I66" s="56"/>
      <c r="J66" s="56"/>
      <c r="K66" s="56"/>
      <c r="L66" s="59" t="s">
        <v>824</v>
      </c>
    </row>
    <row r="67" customHeight="1" spans="1:12">
      <c r="A67" s="56" t="s">
        <v>825</v>
      </c>
      <c r="B67" s="9" t="s">
        <v>225</v>
      </c>
      <c r="E67" s="57"/>
      <c r="F67" s="58"/>
      <c r="G67" s="56"/>
      <c r="H67" s="56"/>
      <c r="I67" s="56"/>
      <c r="J67" s="56"/>
      <c r="K67" s="56"/>
      <c r="L67" s="59" t="s">
        <v>826</v>
      </c>
    </row>
    <row r="68" customHeight="1" spans="1:12">
      <c r="A68" s="56" t="s">
        <v>827</v>
      </c>
      <c r="B68" s="9" t="s">
        <v>225</v>
      </c>
      <c r="E68" s="57"/>
      <c r="F68" s="58"/>
      <c r="G68" s="56"/>
      <c r="H68" s="56"/>
      <c r="I68" s="56"/>
      <c r="J68" s="56"/>
      <c r="K68" s="56"/>
      <c r="L68" s="59" t="s">
        <v>828</v>
      </c>
    </row>
    <row r="69" customHeight="1" spans="1:12">
      <c r="A69" s="56" t="s">
        <v>829</v>
      </c>
      <c r="B69" s="9" t="s">
        <v>225</v>
      </c>
      <c r="E69" s="57"/>
      <c r="F69" s="58"/>
      <c r="G69" s="56"/>
      <c r="H69" s="56"/>
      <c r="I69" s="56"/>
      <c r="J69" s="56"/>
      <c r="K69" s="56"/>
      <c r="L69" s="56" t="s">
        <v>790</v>
      </c>
    </row>
    <row r="70" customHeight="1" spans="1:12">
      <c r="A70" s="56" t="s">
        <v>830</v>
      </c>
      <c r="B70" s="9" t="s">
        <v>225</v>
      </c>
      <c r="E70" s="57"/>
      <c r="F70" s="58"/>
      <c r="G70" s="56"/>
      <c r="H70" s="56"/>
      <c r="I70" s="56"/>
      <c r="J70" s="56"/>
      <c r="K70" s="56"/>
      <c r="L70" s="56" t="s">
        <v>790</v>
      </c>
    </row>
    <row r="71" customHeight="1" spans="1:12">
      <c r="A71" s="56" t="s">
        <v>831</v>
      </c>
      <c r="B71" s="9" t="s">
        <v>225</v>
      </c>
      <c r="E71" s="57"/>
      <c r="F71" s="58"/>
      <c r="G71" s="56"/>
      <c r="H71" s="56"/>
      <c r="I71" s="56"/>
      <c r="J71" s="56"/>
      <c r="K71" s="56"/>
      <c r="L71" s="56" t="s">
        <v>790</v>
      </c>
    </row>
    <row r="72" customHeight="1" spans="1:12">
      <c r="A72" s="56" t="s">
        <v>832</v>
      </c>
      <c r="B72" s="9" t="s">
        <v>225</v>
      </c>
      <c r="E72" s="57"/>
      <c r="F72" s="58"/>
      <c r="G72" s="56"/>
      <c r="H72" s="56"/>
      <c r="I72" s="56"/>
      <c r="J72" s="56"/>
      <c r="K72" s="56"/>
      <c r="L72" s="56" t="s">
        <v>790</v>
      </c>
    </row>
    <row r="73" customHeight="1" spans="1:12">
      <c r="A73" s="56" t="s">
        <v>833</v>
      </c>
      <c r="B73" s="9" t="s">
        <v>225</v>
      </c>
      <c r="E73" s="57"/>
      <c r="F73" s="58"/>
      <c r="G73" s="56"/>
      <c r="H73" s="56"/>
      <c r="I73" s="56"/>
      <c r="J73" s="56"/>
      <c r="K73" s="56"/>
      <c r="L73" s="56" t="s">
        <v>790</v>
      </c>
    </row>
    <row r="74" customHeight="1" spans="1:12">
      <c r="A74" s="56" t="s">
        <v>834</v>
      </c>
      <c r="B74" s="9" t="s">
        <v>225</v>
      </c>
      <c r="E74" s="57"/>
      <c r="F74" s="58"/>
      <c r="G74" s="56"/>
      <c r="H74" s="56"/>
      <c r="I74" s="56"/>
      <c r="J74" s="56"/>
      <c r="K74" s="56"/>
      <c r="L74" s="56"/>
    </row>
    <row r="75" customHeight="1" spans="1:12">
      <c r="A75" s="56" t="s">
        <v>835</v>
      </c>
      <c r="B75" s="9" t="s">
        <v>225</v>
      </c>
      <c r="E75" s="57"/>
      <c r="F75" s="58"/>
      <c r="G75" s="56"/>
      <c r="H75" s="56"/>
      <c r="I75" s="56"/>
      <c r="J75" s="56"/>
      <c r="K75" s="56"/>
      <c r="L75" s="59" t="s">
        <v>836</v>
      </c>
    </row>
    <row r="76" customHeight="1" spans="1:12">
      <c r="A76" s="56" t="s">
        <v>837</v>
      </c>
      <c r="B76" s="9" t="s">
        <v>225</v>
      </c>
      <c r="E76" s="57"/>
      <c r="F76" s="58"/>
      <c r="G76" s="56"/>
      <c r="H76" s="56"/>
      <c r="I76" s="56"/>
      <c r="J76" s="56"/>
      <c r="K76" s="56"/>
      <c r="L76" s="59" t="s">
        <v>838</v>
      </c>
    </row>
    <row r="77" customHeight="1" spans="1:12">
      <c r="A77" s="56" t="s">
        <v>839</v>
      </c>
      <c r="B77" s="9" t="s">
        <v>225</v>
      </c>
      <c r="E77" s="57"/>
      <c r="F77" s="58"/>
      <c r="G77" s="56"/>
      <c r="H77" s="56"/>
      <c r="I77" s="56"/>
      <c r="J77" s="56"/>
      <c r="K77" s="56"/>
      <c r="L77" s="56"/>
    </row>
    <row r="78" customHeight="1" spans="1:12">
      <c r="A78" s="56" t="s">
        <v>840</v>
      </c>
      <c r="B78" s="9" t="s">
        <v>225</v>
      </c>
      <c r="E78" s="57"/>
      <c r="F78" s="58"/>
      <c r="G78" s="56"/>
      <c r="H78" s="56"/>
      <c r="I78" s="56"/>
      <c r="J78" s="56"/>
      <c r="K78" s="56"/>
      <c r="L78" s="56" t="s">
        <v>841</v>
      </c>
    </row>
    <row r="79" customHeight="1" spans="1:12">
      <c r="A79" s="56" t="s">
        <v>842</v>
      </c>
      <c r="B79" s="9" t="s">
        <v>225</v>
      </c>
      <c r="E79" s="57"/>
      <c r="F79" s="58"/>
      <c r="G79" s="56"/>
      <c r="H79" s="56"/>
      <c r="I79" s="56"/>
      <c r="J79" s="56"/>
      <c r="K79" s="56"/>
      <c r="L79" s="59" t="s">
        <v>843</v>
      </c>
    </row>
    <row r="80" customHeight="1" spans="1:12">
      <c r="A80" s="56" t="s">
        <v>844</v>
      </c>
      <c r="B80" s="9" t="s">
        <v>225</v>
      </c>
      <c r="E80" s="57"/>
      <c r="F80" s="58"/>
      <c r="G80" s="56"/>
      <c r="H80" s="56"/>
      <c r="I80" s="56"/>
      <c r="J80" s="56"/>
      <c r="K80" s="56"/>
      <c r="L80" s="56"/>
    </row>
    <row r="81" customHeight="1" spans="1:12">
      <c r="A81" s="56" t="s">
        <v>845</v>
      </c>
      <c r="B81" s="9" t="s">
        <v>225</v>
      </c>
      <c r="E81" s="57"/>
      <c r="F81" s="58"/>
      <c r="G81" s="56"/>
      <c r="H81" s="56"/>
      <c r="I81" s="56"/>
      <c r="J81" s="56"/>
      <c r="K81" s="56"/>
      <c r="L81" s="56"/>
    </row>
    <row r="82" customHeight="1" spans="1:12">
      <c r="A82" s="56" t="s">
        <v>846</v>
      </c>
      <c r="B82" s="9" t="s">
        <v>225</v>
      </c>
      <c r="E82" s="57"/>
      <c r="F82" s="58"/>
      <c r="G82" s="56"/>
      <c r="H82" s="56"/>
      <c r="I82" s="56"/>
      <c r="J82" s="56"/>
      <c r="K82" s="56"/>
      <c r="L82" s="59" t="s">
        <v>847</v>
      </c>
    </row>
    <row r="83" customHeight="1" spans="1:12">
      <c r="A83" s="56" t="s">
        <v>848</v>
      </c>
      <c r="B83" s="9" t="s">
        <v>225</v>
      </c>
      <c r="E83" s="57"/>
      <c r="F83" s="58"/>
      <c r="G83" s="56"/>
      <c r="H83" s="56"/>
      <c r="I83" s="56"/>
      <c r="J83" s="56"/>
      <c r="K83" s="56"/>
      <c r="L83" s="59" t="s">
        <v>849</v>
      </c>
    </row>
    <row r="84" customHeight="1" spans="1:12">
      <c r="A84" s="56" t="s">
        <v>850</v>
      </c>
      <c r="B84" s="9" t="s">
        <v>225</v>
      </c>
      <c r="E84" s="57"/>
      <c r="F84" s="58"/>
      <c r="G84" s="56"/>
      <c r="H84" s="56"/>
      <c r="I84" s="56"/>
      <c r="J84" s="56"/>
      <c r="K84" s="56"/>
      <c r="L84" s="56"/>
    </row>
    <row r="85" customHeight="1" spans="1:12">
      <c r="A85" s="56" t="s">
        <v>851</v>
      </c>
      <c r="B85" s="9" t="s">
        <v>225</v>
      </c>
      <c r="E85" s="57"/>
      <c r="F85" s="58"/>
      <c r="G85" s="56"/>
      <c r="H85" s="56"/>
      <c r="I85" s="56"/>
      <c r="J85" s="56"/>
      <c r="K85" s="56"/>
      <c r="L85" s="59" t="s">
        <v>852</v>
      </c>
    </row>
    <row r="86" customHeight="1" spans="1:12">
      <c r="A86" s="56" t="s">
        <v>853</v>
      </c>
      <c r="B86" s="9" t="s">
        <v>225</v>
      </c>
      <c r="E86" s="57"/>
      <c r="F86" s="58"/>
      <c r="G86" s="56"/>
      <c r="H86" s="56"/>
      <c r="I86" s="56"/>
      <c r="J86" s="56"/>
      <c r="K86" s="56"/>
      <c r="L86" s="56"/>
    </row>
    <row r="87" customHeight="1" spans="1:12">
      <c r="A87" s="56" t="s">
        <v>854</v>
      </c>
      <c r="B87" s="9" t="s">
        <v>225</v>
      </c>
      <c r="E87" s="57"/>
      <c r="F87" s="58"/>
      <c r="G87" s="56"/>
      <c r="H87" s="56"/>
      <c r="I87" s="56"/>
      <c r="J87" s="56"/>
      <c r="K87" s="56"/>
      <c r="L87" s="56"/>
    </row>
    <row r="88" customHeight="1" spans="1:12">
      <c r="A88" s="56" t="s">
        <v>855</v>
      </c>
      <c r="B88" s="9" t="s">
        <v>225</v>
      </c>
      <c r="E88" s="57"/>
      <c r="F88" s="58"/>
      <c r="G88" s="56"/>
      <c r="H88" s="56"/>
      <c r="I88" s="56"/>
      <c r="J88" s="56"/>
      <c r="K88" s="56"/>
      <c r="L88" s="56"/>
    </row>
    <row r="89" customHeight="1" spans="1:12">
      <c r="A89" s="56" t="s">
        <v>856</v>
      </c>
      <c r="B89" s="9" t="s">
        <v>225</v>
      </c>
      <c r="E89" s="57"/>
      <c r="F89" s="58"/>
      <c r="G89" s="56"/>
      <c r="H89" s="56"/>
      <c r="I89" s="56"/>
      <c r="J89" s="56"/>
      <c r="K89" s="56"/>
      <c r="L89" s="56"/>
    </row>
    <row r="90" customHeight="1" spans="1:12">
      <c r="A90" s="56" t="s">
        <v>857</v>
      </c>
      <c r="B90" s="9" t="s">
        <v>225</v>
      </c>
      <c r="E90" s="57"/>
      <c r="F90" s="57"/>
      <c r="G90" s="45"/>
      <c r="H90" s="45"/>
      <c r="I90" s="45"/>
      <c r="J90" s="45"/>
      <c r="K90" s="45"/>
      <c r="L90" s="45"/>
    </row>
    <row r="91" customHeight="1" spans="1:12">
      <c r="A91" s="58" t="s">
        <v>858</v>
      </c>
      <c r="B91" s="60"/>
      <c r="G91" s="61"/>
      <c r="H91" s="61"/>
      <c r="I91" s="61"/>
      <c r="J91" s="61"/>
      <c r="K91" s="61"/>
      <c r="L91" s="56"/>
    </row>
    <row r="92" customHeight="1" spans="1:12">
      <c r="A92" s="58" t="s">
        <v>859</v>
      </c>
      <c r="B92" s="60"/>
      <c r="G92" s="61"/>
      <c r="H92" s="61"/>
      <c r="I92" s="61"/>
      <c r="J92" s="61"/>
      <c r="K92" s="61"/>
      <c r="L92" s="56"/>
    </row>
    <row r="93" customHeight="1" spans="1:12">
      <c r="A93" s="58" t="s">
        <v>831</v>
      </c>
      <c r="B93" s="60"/>
      <c r="G93" s="61"/>
      <c r="H93" s="61"/>
      <c r="I93" s="61"/>
      <c r="J93" s="61"/>
      <c r="K93" s="61"/>
      <c r="L93" s="56"/>
    </row>
    <row r="94" customHeight="1" spans="1:12">
      <c r="A94" s="58" t="s">
        <v>860</v>
      </c>
      <c r="B94" s="60"/>
      <c r="G94" s="61"/>
      <c r="H94" s="61"/>
      <c r="I94" s="61"/>
      <c r="J94" s="61"/>
      <c r="K94" s="61"/>
      <c r="L94" s="56"/>
    </row>
    <row r="95" customHeight="1" spans="1:12">
      <c r="A95" s="58" t="s">
        <v>861</v>
      </c>
      <c r="B95" s="60"/>
      <c r="G95" s="61"/>
      <c r="H95" s="61"/>
      <c r="I95" s="61"/>
      <c r="J95" s="61"/>
      <c r="K95" s="61"/>
      <c r="L95" s="56"/>
    </row>
    <row r="96" customHeight="1" spans="1:12">
      <c r="A96" s="58" t="s">
        <v>862</v>
      </c>
      <c r="B96" s="60"/>
      <c r="G96" s="61"/>
      <c r="H96" s="61"/>
      <c r="I96" s="61"/>
      <c r="J96" s="61"/>
      <c r="K96" s="61"/>
      <c r="L96" s="56"/>
    </row>
    <row r="97" customHeight="1" spans="1:12">
      <c r="A97" s="58" t="s">
        <v>863</v>
      </c>
      <c r="B97" s="60"/>
      <c r="G97" s="61"/>
      <c r="H97" s="61"/>
      <c r="I97" s="61"/>
      <c r="J97" s="61"/>
      <c r="K97" s="61"/>
      <c r="L97" s="59" t="s">
        <v>864</v>
      </c>
    </row>
    <row r="98" customHeight="1" spans="1:12">
      <c r="A98" s="58" t="s">
        <v>865</v>
      </c>
      <c r="B98" s="60"/>
      <c r="G98" s="61"/>
      <c r="H98" s="61"/>
      <c r="I98" s="61"/>
      <c r="J98" s="61"/>
      <c r="K98" s="61"/>
      <c r="L98" s="59" t="s">
        <v>866</v>
      </c>
    </row>
    <row r="99" customHeight="1" spans="1:12">
      <c r="A99" s="58" t="s">
        <v>867</v>
      </c>
      <c r="B99" s="60"/>
      <c r="G99" s="61"/>
      <c r="H99" s="61"/>
      <c r="I99" s="61"/>
      <c r="J99" s="61"/>
      <c r="K99" s="61"/>
      <c r="L99" s="56"/>
    </row>
    <row r="100" customHeight="1" spans="1:12">
      <c r="A100" s="58" t="s">
        <v>868</v>
      </c>
      <c r="B100" s="60"/>
      <c r="G100" s="61"/>
      <c r="H100" s="61"/>
      <c r="I100" s="61"/>
      <c r="J100" s="61"/>
      <c r="K100" s="61"/>
      <c r="L100" s="56"/>
    </row>
    <row r="101" customHeight="1" spans="1:12">
      <c r="A101" s="58" t="s">
        <v>869</v>
      </c>
      <c r="B101" s="60"/>
      <c r="G101" s="61"/>
      <c r="H101" s="61"/>
      <c r="I101" s="61"/>
      <c r="J101" s="61"/>
      <c r="K101" s="61"/>
      <c r="L101" s="56"/>
    </row>
    <row r="102" customHeight="1" spans="1:12">
      <c r="A102" s="58" t="s">
        <v>870</v>
      </c>
      <c r="B102" s="60"/>
      <c r="G102" s="61"/>
      <c r="H102" s="61"/>
      <c r="I102" s="61"/>
      <c r="J102" s="61"/>
      <c r="K102" s="61"/>
      <c r="L102" s="59" t="s">
        <v>871</v>
      </c>
    </row>
    <row r="103" customHeight="1" spans="1:12">
      <c r="A103" s="58" t="s">
        <v>872</v>
      </c>
      <c r="B103" s="60"/>
      <c r="G103" s="61"/>
      <c r="H103" s="61"/>
      <c r="I103" s="61"/>
      <c r="J103" s="61"/>
      <c r="K103" s="61"/>
      <c r="L103" s="59" t="s">
        <v>873</v>
      </c>
    </row>
    <row r="104" customHeight="1" spans="1:12">
      <c r="A104" s="58" t="s">
        <v>874</v>
      </c>
      <c r="B104" s="60"/>
      <c r="G104" s="61"/>
      <c r="H104" s="61"/>
      <c r="I104" s="61"/>
      <c r="J104" s="61"/>
      <c r="K104" s="61"/>
      <c r="L104" s="59" t="s">
        <v>875</v>
      </c>
    </row>
    <row r="105" customHeight="1" spans="1:12">
      <c r="A105" s="58" t="s">
        <v>876</v>
      </c>
      <c r="B105" s="60"/>
      <c r="G105" s="61"/>
      <c r="H105" s="61"/>
      <c r="I105" s="61"/>
      <c r="J105" s="61"/>
      <c r="K105" s="61"/>
      <c r="L105" s="59" t="s">
        <v>877</v>
      </c>
    </row>
    <row r="106" customHeight="1" spans="1:12">
      <c r="A106" s="58" t="s">
        <v>878</v>
      </c>
      <c r="B106" s="60"/>
      <c r="G106" s="61"/>
      <c r="H106" s="61"/>
      <c r="I106" s="61"/>
      <c r="J106" s="61"/>
      <c r="K106" s="61"/>
      <c r="L106" s="56"/>
    </row>
    <row r="107" customHeight="1" spans="1:12">
      <c r="A107" s="58" t="s">
        <v>879</v>
      </c>
      <c r="B107" s="60"/>
      <c r="G107" s="61"/>
      <c r="H107" s="61"/>
      <c r="I107" s="61"/>
      <c r="J107" s="61"/>
      <c r="K107" s="61"/>
      <c r="L107" s="59" t="s">
        <v>880</v>
      </c>
    </row>
    <row r="108" customHeight="1" spans="1:12">
      <c r="A108" s="58" t="s">
        <v>881</v>
      </c>
      <c r="B108" s="60"/>
      <c r="G108" s="61"/>
      <c r="H108" s="61"/>
      <c r="I108" s="61"/>
      <c r="J108" s="61"/>
      <c r="K108" s="61"/>
      <c r="L108" s="56"/>
    </row>
    <row r="109" customHeight="1" spans="1:12">
      <c r="A109" s="58" t="s">
        <v>882</v>
      </c>
      <c r="B109" s="60"/>
      <c r="G109" s="61"/>
      <c r="H109" s="61"/>
      <c r="I109" s="61"/>
      <c r="J109" s="61"/>
      <c r="K109" s="61"/>
      <c r="L109" s="56"/>
    </row>
    <row r="110" customHeight="1" spans="1:12">
      <c r="A110" s="58" t="s">
        <v>883</v>
      </c>
      <c r="B110" s="60"/>
      <c r="G110" s="61"/>
      <c r="H110" s="61"/>
      <c r="I110" s="61"/>
      <c r="J110" s="61"/>
      <c r="K110" s="61"/>
      <c r="L110" s="56"/>
    </row>
    <row r="111" customHeight="1" spans="1:12">
      <c r="A111" s="58" t="s">
        <v>884</v>
      </c>
      <c r="B111" s="60"/>
      <c r="G111" s="61"/>
      <c r="H111" s="61"/>
      <c r="I111" s="61"/>
      <c r="J111" s="61"/>
      <c r="K111" s="61"/>
      <c r="L111" s="59" t="s">
        <v>885</v>
      </c>
    </row>
    <row r="112" customHeight="1" spans="1:12">
      <c r="A112" s="58" t="s">
        <v>886</v>
      </c>
      <c r="B112" s="60"/>
      <c r="G112" s="61"/>
      <c r="H112" s="61"/>
      <c r="I112" s="61"/>
      <c r="J112" s="61"/>
      <c r="K112" s="61"/>
      <c r="L112" s="59" t="s">
        <v>887</v>
      </c>
    </row>
    <row r="113" customHeight="1" spans="1:12">
      <c r="A113" s="58" t="s">
        <v>888</v>
      </c>
      <c r="B113" s="60"/>
      <c r="G113" s="61"/>
      <c r="H113" s="61"/>
      <c r="I113" s="61"/>
      <c r="J113" s="61"/>
      <c r="K113" s="61"/>
      <c r="L113" s="59" t="s">
        <v>889</v>
      </c>
    </row>
    <row r="114" customHeight="1" spans="1:12">
      <c r="A114" s="58" t="s">
        <v>890</v>
      </c>
      <c r="B114" s="60"/>
      <c r="G114" s="61"/>
      <c r="H114" s="61"/>
      <c r="I114" s="61"/>
      <c r="J114" s="61"/>
      <c r="K114" s="61"/>
      <c r="L114" s="59" t="s">
        <v>891</v>
      </c>
    </row>
    <row r="115" customHeight="1" spans="1:12">
      <c r="A115" s="58" t="s">
        <v>892</v>
      </c>
      <c r="B115" s="60"/>
      <c r="G115" s="61"/>
      <c r="H115" s="61"/>
      <c r="I115" s="61"/>
      <c r="J115" s="61"/>
      <c r="K115" s="61"/>
      <c r="L115" s="59" t="s">
        <v>893</v>
      </c>
    </row>
    <row r="116" customHeight="1" spans="1:12">
      <c r="A116" s="58" t="s">
        <v>894</v>
      </c>
      <c r="B116" s="60"/>
      <c r="G116" s="61"/>
      <c r="H116" s="61"/>
      <c r="I116" s="61"/>
      <c r="J116" s="61"/>
      <c r="K116" s="61"/>
      <c r="L116" s="56"/>
    </row>
    <row r="117" customHeight="1" spans="1:12">
      <c r="A117" s="58" t="s">
        <v>895</v>
      </c>
      <c r="B117" s="60"/>
      <c r="G117" s="61"/>
      <c r="H117" s="61"/>
      <c r="I117" s="61"/>
      <c r="J117" s="61"/>
      <c r="K117" s="61"/>
      <c r="L117" s="59" t="s">
        <v>896</v>
      </c>
    </row>
    <row r="118" customHeight="1" spans="1:12">
      <c r="A118" s="58" t="s">
        <v>897</v>
      </c>
      <c r="B118" s="60"/>
      <c r="G118" s="61"/>
      <c r="H118" s="61"/>
      <c r="I118" s="61"/>
      <c r="J118" s="61"/>
      <c r="K118" s="61"/>
      <c r="L118" s="56"/>
    </row>
    <row r="119" customHeight="1" spans="1:12">
      <c r="A119" s="58" t="s">
        <v>898</v>
      </c>
      <c r="B119" s="60"/>
      <c r="G119" s="61"/>
      <c r="H119" s="61"/>
      <c r="I119" s="61"/>
      <c r="J119" s="61"/>
      <c r="K119" s="61"/>
      <c r="L119" s="56"/>
    </row>
    <row r="120" customHeight="1" spans="1:12">
      <c r="A120" s="58" t="s">
        <v>899</v>
      </c>
      <c r="B120" s="60"/>
      <c r="G120" s="61"/>
      <c r="H120" s="61"/>
      <c r="I120" s="61"/>
      <c r="J120" s="61"/>
      <c r="K120" s="61"/>
      <c r="L120" s="56"/>
    </row>
    <row r="121" customHeight="1" spans="1:12">
      <c r="A121" s="58" t="s">
        <v>900</v>
      </c>
      <c r="B121" s="60"/>
      <c r="G121" s="61"/>
      <c r="H121" s="61"/>
      <c r="I121" s="61"/>
      <c r="J121" s="61"/>
      <c r="K121" s="61"/>
      <c r="L121" s="59" t="s">
        <v>901</v>
      </c>
    </row>
    <row r="122" customHeight="1" spans="1:12">
      <c r="A122" s="58" t="s">
        <v>902</v>
      </c>
      <c r="B122" s="60"/>
      <c r="G122" s="61"/>
      <c r="H122" s="61"/>
      <c r="I122" s="61"/>
      <c r="J122" s="61"/>
      <c r="K122" s="61"/>
      <c r="L122" s="59" t="s">
        <v>903</v>
      </c>
    </row>
    <row r="123" customHeight="1" spans="1:12">
      <c r="A123" s="58" t="s">
        <v>904</v>
      </c>
      <c r="B123" s="60"/>
      <c r="G123" s="61"/>
      <c r="H123" s="61"/>
      <c r="I123" s="61"/>
      <c r="J123" s="61"/>
      <c r="K123" s="61"/>
      <c r="L123" s="56"/>
    </row>
    <row r="124" customHeight="1" spans="1:12">
      <c r="A124" s="58" t="s">
        <v>905</v>
      </c>
      <c r="B124" s="60"/>
      <c r="G124" s="61"/>
      <c r="H124" s="61"/>
      <c r="I124" s="61"/>
      <c r="J124" s="61"/>
      <c r="K124" s="61"/>
      <c r="L124" s="59" t="s">
        <v>906</v>
      </c>
    </row>
    <row r="125" customHeight="1" spans="1:12">
      <c r="A125" s="58" t="s">
        <v>907</v>
      </c>
      <c r="B125" s="60"/>
      <c r="G125" s="61"/>
      <c r="H125" s="61"/>
      <c r="I125" s="61"/>
      <c r="J125" s="61"/>
      <c r="K125" s="61"/>
      <c r="L125" s="56"/>
    </row>
    <row r="126" customHeight="1" spans="1:12">
      <c r="A126" s="58" t="s">
        <v>908</v>
      </c>
      <c r="B126" s="60"/>
      <c r="G126" s="61"/>
      <c r="H126" s="61"/>
      <c r="I126" s="61"/>
      <c r="J126" s="61"/>
      <c r="K126" s="61"/>
      <c r="L126" s="56"/>
    </row>
    <row r="127" customHeight="1" spans="1:12">
      <c r="A127" s="58" t="s">
        <v>909</v>
      </c>
      <c r="B127" s="60"/>
      <c r="G127" s="61"/>
      <c r="H127" s="61"/>
      <c r="I127" s="61"/>
      <c r="J127" s="61"/>
      <c r="K127" s="61"/>
      <c r="L127" s="56"/>
    </row>
    <row r="128" customHeight="1" spans="1:12">
      <c r="A128" s="58" t="s">
        <v>910</v>
      </c>
      <c r="B128" s="60"/>
      <c r="G128" s="61"/>
      <c r="H128" s="61"/>
      <c r="I128" s="61"/>
      <c r="J128" s="61"/>
      <c r="K128" s="61"/>
      <c r="L128" s="59" t="s">
        <v>911</v>
      </c>
    </row>
    <row r="129" customHeight="1" spans="1:12">
      <c r="A129" s="58" t="s">
        <v>912</v>
      </c>
      <c r="B129" s="60"/>
      <c r="G129" s="61"/>
      <c r="H129" s="61"/>
      <c r="I129" s="61"/>
      <c r="J129" s="61"/>
      <c r="K129" s="61"/>
      <c r="L129" s="56"/>
    </row>
    <row r="130" customHeight="1" spans="1:12">
      <c r="A130" s="58" t="s">
        <v>913</v>
      </c>
      <c r="B130" s="60"/>
      <c r="G130" s="61"/>
      <c r="H130" s="61"/>
      <c r="I130" s="61"/>
      <c r="J130" s="61"/>
      <c r="K130" s="61"/>
      <c r="L130" s="56"/>
    </row>
    <row r="131" customHeight="1" spans="1:12">
      <c r="A131" s="58" t="s">
        <v>914</v>
      </c>
      <c r="B131" s="60"/>
      <c r="G131" s="61"/>
      <c r="H131" s="61"/>
      <c r="I131" s="61"/>
      <c r="J131" s="61"/>
      <c r="K131" s="61"/>
      <c r="L131" s="56"/>
    </row>
    <row r="132" customHeight="1" spans="1:12">
      <c r="A132" s="58" t="s">
        <v>915</v>
      </c>
      <c r="B132" s="60"/>
      <c r="G132" s="61"/>
      <c r="H132" s="61"/>
      <c r="I132" s="61"/>
      <c r="J132" s="61"/>
      <c r="K132" s="61"/>
      <c r="L132" s="59" t="s">
        <v>916</v>
      </c>
    </row>
    <row r="133" customHeight="1" spans="1:12">
      <c r="A133" s="58" t="s">
        <v>917</v>
      </c>
      <c r="B133" s="60"/>
      <c r="G133" s="61"/>
      <c r="H133" s="61"/>
      <c r="I133" s="61"/>
      <c r="J133" s="61"/>
      <c r="K133" s="61"/>
      <c r="L133" s="56"/>
    </row>
    <row r="134" customHeight="1" spans="1:12">
      <c r="A134" s="58" t="s">
        <v>918</v>
      </c>
      <c r="B134" s="60"/>
      <c r="G134" s="61"/>
      <c r="H134" s="61"/>
      <c r="I134" s="61"/>
      <c r="J134" s="61"/>
      <c r="K134" s="61"/>
      <c r="L134" s="59" t="s">
        <v>919</v>
      </c>
    </row>
    <row r="135" customHeight="1" spans="1:12">
      <c r="A135" s="58" t="s">
        <v>920</v>
      </c>
      <c r="B135" s="60"/>
      <c r="G135" s="61"/>
      <c r="H135" s="61"/>
      <c r="I135" s="61"/>
      <c r="J135" s="61"/>
      <c r="K135" s="61"/>
      <c r="L135" s="56"/>
    </row>
    <row r="136" customHeight="1" spans="1:12">
      <c r="A136" s="58" t="s">
        <v>921</v>
      </c>
      <c r="B136" s="60"/>
      <c r="G136" s="61"/>
      <c r="H136" s="61"/>
      <c r="I136" s="61"/>
      <c r="J136" s="61"/>
      <c r="K136" s="61"/>
      <c r="L136" s="56"/>
    </row>
    <row r="137" customHeight="1" spans="1:12">
      <c r="A137" s="58" t="s">
        <v>922</v>
      </c>
      <c r="B137" s="60"/>
      <c r="G137" s="61"/>
      <c r="H137" s="61"/>
      <c r="I137" s="61"/>
      <c r="J137" s="61"/>
      <c r="K137" s="61"/>
      <c r="L137" s="56"/>
    </row>
    <row r="138" customHeight="1" spans="1:12">
      <c r="A138" s="58" t="s">
        <v>923</v>
      </c>
      <c r="B138" s="60"/>
      <c r="G138" s="61"/>
      <c r="H138" s="61"/>
      <c r="I138" s="61"/>
      <c r="J138" s="61"/>
      <c r="K138" s="61"/>
      <c r="L138" s="56"/>
    </row>
    <row r="139" customHeight="1" spans="1:12">
      <c r="A139" s="62" t="s">
        <v>924</v>
      </c>
      <c r="B139" s="60"/>
      <c r="G139" s="63"/>
      <c r="H139" s="63"/>
      <c r="I139" s="63"/>
      <c r="J139" s="63"/>
      <c r="K139" s="63"/>
      <c r="L139" s="66" t="s">
        <v>925</v>
      </c>
    </row>
    <row r="140" customHeight="1" spans="1:12">
      <c r="A140" s="62" t="s">
        <v>926</v>
      </c>
      <c r="B140" s="60"/>
      <c r="G140" s="63"/>
      <c r="H140" s="63"/>
      <c r="I140" s="63"/>
      <c r="J140" s="63"/>
      <c r="K140" s="63"/>
      <c r="L140" s="62" t="s">
        <v>927</v>
      </c>
    </row>
    <row r="141" customHeight="1" spans="1:12">
      <c r="A141" s="62" t="s">
        <v>928</v>
      </c>
      <c r="B141" s="60"/>
      <c r="G141" s="63"/>
      <c r="H141" s="63"/>
      <c r="I141" s="63"/>
      <c r="J141" s="63"/>
      <c r="K141" s="63"/>
      <c r="L141" s="62" t="s">
        <v>927</v>
      </c>
    </row>
    <row r="142" customHeight="1" spans="1:12">
      <c r="A142" s="62" t="s">
        <v>929</v>
      </c>
      <c r="B142" s="60"/>
      <c r="G142" s="63"/>
      <c r="H142" s="63"/>
      <c r="I142" s="63"/>
      <c r="J142" s="63"/>
      <c r="K142" s="63"/>
      <c r="L142" s="66" t="s">
        <v>930</v>
      </c>
    </row>
    <row r="143" customHeight="1" spans="1:12">
      <c r="A143" s="56" t="s">
        <v>931</v>
      </c>
      <c r="B143" s="60"/>
      <c r="G143" s="61"/>
      <c r="H143" s="61"/>
      <c r="I143" s="61"/>
      <c r="J143" s="61"/>
      <c r="K143" s="61"/>
      <c r="L143" s="56" t="s">
        <v>931</v>
      </c>
    </row>
    <row r="144" customHeight="1" spans="1:12">
      <c r="A144" s="62" t="s">
        <v>932</v>
      </c>
      <c r="B144" s="60"/>
      <c r="G144" s="61"/>
      <c r="H144" s="61"/>
      <c r="I144" s="61"/>
      <c r="J144" s="61"/>
      <c r="K144" s="61"/>
      <c r="L144" s="56" t="s">
        <v>927</v>
      </c>
    </row>
    <row r="145" customHeight="1" spans="1:12">
      <c r="A145" s="56" t="s">
        <v>933</v>
      </c>
      <c r="B145" s="60"/>
      <c r="G145" s="61"/>
      <c r="H145" s="61"/>
      <c r="I145" s="61"/>
      <c r="J145" s="61"/>
      <c r="K145" s="61"/>
      <c r="L145" s="59" t="s">
        <v>934</v>
      </c>
    </row>
    <row r="146" customHeight="1" spans="1:12">
      <c r="A146" s="56" t="s">
        <v>935</v>
      </c>
      <c r="B146" s="60"/>
      <c r="G146" s="61"/>
      <c r="H146" s="61"/>
      <c r="I146" s="61"/>
      <c r="J146" s="61"/>
      <c r="K146" s="61"/>
      <c r="L146" s="56" t="s">
        <v>927</v>
      </c>
    </row>
    <row r="147" customHeight="1" spans="1:12">
      <c r="A147" s="62" t="s">
        <v>936</v>
      </c>
      <c r="B147" s="60"/>
      <c r="G147" s="63"/>
      <c r="H147" s="63"/>
      <c r="I147" s="63"/>
      <c r="J147" s="63"/>
      <c r="K147" s="63"/>
      <c r="L147" s="66" t="s">
        <v>937</v>
      </c>
    </row>
    <row r="148" customHeight="1" spans="1:12">
      <c r="A148" s="62" t="s">
        <v>938</v>
      </c>
      <c r="B148" s="60"/>
      <c r="G148" s="63"/>
      <c r="H148" s="63"/>
      <c r="I148" s="63"/>
      <c r="J148" s="63"/>
      <c r="K148" s="63"/>
      <c r="L148" s="66" t="s">
        <v>939</v>
      </c>
    </row>
    <row r="149" customHeight="1" spans="1:12">
      <c r="A149" s="62" t="s">
        <v>940</v>
      </c>
      <c r="B149" s="60"/>
      <c r="G149" s="63"/>
      <c r="H149" s="63"/>
      <c r="I149" s="63"/>
      <c r="J149" s="63"/>
      <c r="K149" s="63"/>
      <c r="L149" s="66" t="s">
        <v>941</v>
      </c>
    </row>
    <row r="150" customHeight="1" spans="1:12">
      <c r="A150" s="62" t="s">
        <v>942</v>
      </c>
      <c r="B150" s="60"/>
      <c r="G150" s="63"/>
      <c r="H150" s="63"/>
      <c r="I150" s="63"/>
      <c r="J150" s="63"/>
      <c r="K150" s="63"/>
      <c r="L150" s="66" t="s">
        <v>943</v>
      </c>
    </row>
    <row r="151" customHeight="1" spans="1:12">
      <c r="A151" s="62" t="s">
        <v>944</v>
      </c>
      <c r="B151" s="60"/>
      <c r="G151" s="63"/>
      <c r="H151" s="63"/>
      <c r="I151" s="63"/>
      <c r="J151" s="63"/>
      <c r="K151" s="63"/>
      <c r="L151" s="66" t="s">
        <v>945</v>
      </c>
    </row>
    <row r="152" customHeight="1" spans="1:12">
      <c r="A152" s="62" t="s">
        <v>946</v>
      </c>
      <c r="B152" s="60"/>
      <c r="G152" s="63"/>
      <c r="H152" s="63"/>
      <c r="I152" s="63"/>
      <c r="J152" s="63"/>
      <c r="K152" s="63"/>
      <c r="L152" s="66" t="s">
        <v>947</v>
      </c>
    </row>
    <row r="153" customHeight="1" spans="1:12">
      <c r="A153" s="62" t="s">
        <v>948</v>
      </c>
      <c r="B153" s="60"/>
      <c r="G153" s="63"/>
      <c r="H153" s="63"/>
      <c r="I153" s="63"/>
      <c r="J153" s="63"/>
      <c r="K153" s="63"/>
      <c r="L153" s="66" t="s">
        <v>939</v>
      </c>
    </row>
    <row r="154" customHeight="1" spans="1:12">
      <c r="A154" s="62" t="s">
        <v>949</v>
      </c>
      <c r="B154" s="60"/>
      <c r="G154" s="63"/>
      <c r="H154" s="63"/>
      <c r="I154" s="63"/>
      <c r="J154" s="63"/>
      <c r="K154" s="63"/>
      <c r="L154" s="66" t="s">
        <v>950</v>
      </c>
    </row>
    <row r="155" customHeight="1" spans="1:12">
      <c r="A155" s="62" t="s">
        <v>951</v>
      </c>
      <c r="B155" s="60"/>
      <c r="G155" s="63"/>
      <c r="H155" s="63"/>
      <c r="I155" s="63"/>
      <c r="J155" s="63"/>
      <c r="K155" s="63"/>
      <c r="L155" s="62" t="s">
        <v>790</v>
      </c>
    </row>
    <row r="156" customHeight="1" spans="1:12">
      <c r="A156" s="45"/>
      <c r="B156" s="60"/>
      <c r="D156" s="44"/>
      <c r="G156" s="45"/>
      <c r="H156" s="45"/>
      <c r="I156" s="45"/>
      <c r="J156" s="45"/>
      <c r="K156" s="45"/>
      <c r="L156" s="55" t="s">
        <v>952</v>
      </c>
    </row>
    <row r="157" customHeight="1" spans="1:16">
      <c r="A157" s="45"/>
      <c r="B157" s="60"/>
      <c r="D157" s="44"/>
      <c r="G157" s="64"/>
      <c r="H157" s="64"/>
      <c r="I157" s="64"/>
      <c r="J157" s="64"/>
      <c r="K157" s="64"/>
      <c r="L157" s="67"/>
      <c r="M157" s="67"/>
      <c r="N157" s="67"/>
      <c r="O157" s="67"/>
      <c r="P157" s="67"/>
    </row>
    <row r="158" customHeight="1" spans="1:11">
      <c r="A158" s="65" t="s">
        <v>953</v>
      </c>
      <c r="B158" s="9" t="s">
        <v>225</v>
      </c>
      <c r="D158" s="44"/>
      <c r="G158" s="65" t="s">
        <v>954</v>
      </c>
      <c r="H158" s="65"/>
      <c r="I158" s="65" t="s">
        <v>955</v>
      </c>
      <c r="J158" s="65"/>
      <c r="K158" s="65" t="s">
        <v>956</v>
      </c>
    </row>
    <row r="159" customHeight="1" spans="1:11">
      <c r="A159" s="65" t="s">
        <v>957</v>
      </c>
      <c r="B159" s="9" t="s">
        <v>225</v>
      </c>
      <c r="D159" s="44"/>
      <c r="G159" s="65" t="s">
        <v>958</v>
      </c>
      <c r="H159" s="65"/>
      <c r="I159" s="65" t="s">
        <v>959</v>
      </c>
      <c r="J159" s="65"/>
      <c r="K159" s="65" t="s">
        <v>960</v>
      </c>
    </row>
    <row r="160" customHeight="1" spans="1:11">
      <c r="A160" s="65" t="s">
        <v>961</v>
      </c>
      <c r="B160" s="9" t="s">
        <v>225</v>
      </c>
      <c r="D160" s="44"/>
      <c r="G160" s="65" t="s">
        <v>962</v>
      </c>
      <c r="H160" s="65"/>
      <c r="I160" s="65" t="s">
        <v>963</v>
      </c>
      <c r="J160" s="65"/>
      <c r="K160" s="65" t="s">
        <v>964</v>
      </c>
    </row>
    <row r="161" customHeight="1" spans="1:11">
      <c r="A161" s="65" t="s">
        <v>965</v>
      </c>
      <c r="B161" s="9" t="s">
        <v>225</v>
      </c>
      <c r="D161" s="44"/>
      <c r="G161" s="65" t="s">
        <v>966</v>
      </c>
      <c r="H161" s="65"/>
      <c r="I161" s="65" t="s">
        <v>967</v>
      </c>
      <c r="J161" s="65"/>
      <c r="K161" s="65" t="s">
        <v>968</v>
      </c>
    </row>
    <row r="162" customHeight="1" spans="1:11">
      <c r="A162" s="65" t="s">
        <v>969</v>
      </c>
      <c r="B162" s="9" t="s">
        <v>225</v>
      </c>
      <c r="D162" s="44"/>
      <c r="G162" s="65" t="s">
        <v>970</v>
      </c>
      <c r="H162" s="65"/>
      <c r="I162" s="65" t="s">
        <v>971</v>
      </c>
      <c r="J162" s="65"/>
      <c r="K162" s="65" t="s">
        <v>972</v>
      </c>
    </row>
    <row r="163" customHeight="1" spans="1:11">
      <c r="A163" s="65" t="s">
        <v>973</v>
      </c>
      <c r="B163" s="9" t="s">
        <v>225</v>
      </c>
      <c r="D163" s="44"/>
      <c r="G163" s="65" t="s">
        <v>974</v>
      </c>
      <c r="H163" s="65"/>
      <c r="I163" s="65" t="s">
        <v>975</v>
      </c>
      <c r="J163" s="65"/>
      <c r="K163" s="65" t="s">
        <v>968</v>
      </c>
    </row>
    <row r="164" customHeight="1" spans="1:11">
      <c r="A164" s="65" t="s">
        <v>976</v>
      </c>
      <c r="B164" s="9" t="s">
        <v>225</v>
      </c>
      <c r="D164" s="44"/>
      <c r="G164" s="65" t="s">
        <v>977</v>
      </c>
      <c r="H164" s="65"/>
      <c r="I164" s="65" t="s">
        <v>978</v>
      </c>
      <c r="J164" s="65"/>
      <c r="K164" s="65" t="s">
        <v>979</v>
      </c>
    </row>
    <row r="165" customHeight="1" spans="1:11">
      <c r="A165" s="65" t="s">
        <v>980</v>
      </c>
      <c r="B165" s="9" t="s">
        <v>225</v>
      </c>
      <c r="D165" s="44"/>
      <c r="G165" s="65" t="s">
        <v>981</v>
      </c>
      <c r="H165" s="65"/>
      <c r="I165" s="65" t="s">
        <v>982</v>
      </c>
      <c r="J165" s="68" t="s">
        <v>983</v>
      </c>
      <c r="K165" s="65" t="s">
        <v>972</v>
      </c>
    </row>
    <row r="166" customHeight="1" spans="1:11">
      <c r="A166" s="65" t="s">
        <v>984</v>
      </c>
      <c r="B166" s="9" t="s">
        <v>225</v>
      </c>
      <c r="D166" s="44"/>
      <c r="G166" s="65" t="s">
        <v>985</v>
      </c>
      <c r="H166" s="65"/>
      <c r="I166" s="65" t="s">
        <v>986</v>
      </c>
      <c r="J166" s="68" t="s">
        <v>987</v>
      </c>
      <c r="K166" s="65" t="s">
        <v>956</v>
      </c>
    </row>
    <row r="167" customHeight="1" spans="1:11">
      <c r="A167" s="65" t="s">
        <v>988</v>
      </c>
      <c r="B167" s="9" t="s">
        <v>225</v>
      </c>
      <c r="D167" s="44"/>
      <c r="G167" s="65" t="s">
        <v>989</v>
      </c>
      <c r="H167" s="65"/>
      <c r="I167" s="65" t="s">
        <v>990</v>
      </c>
      <c r="J167" s="65"/>
      <c r="K167" s="65" t="s">
        <v>991</v>
      </c>
    </row>
    <row r="168" customHeight="1" spans="1:11">
      <c r="A168" s="65" t="s">
        <v>992</v>
      </c>
      <c r="B168" s="9" t="s">
        <v>225</v>
      </c>
      <c r="D168" s="44"/>
      <c r="G168" s="65" t="s">
        <v>993</v>
      </c>
      <c r="H168" s="65"/>
      <c r="I168" s="65" t="s">
        <v>994</v>
      </c>
      <c r="J168" s="65"/>
      <c r="K168" s="65" t="s">
        <v>968</v>
      </c>
    </row>
    <row r="169" customHeight="1" spans="1:11">
      <c r="A169" s="65" t="s">
        <v>995</v>
      </c>
      <c r="B169" s="9" t="s">
        <v>225</v>
      </c>
      <c r="D169" s="44"/>
      <c r="G169" s="65" t="s">
        <v>996</v>
      </c>
      <c r="H169" s="65"/>
      <c r="I169" s="65" t="s">
        <v>997</v>
      </c>
      <c r="J169" s="65"/>
      <c r="K169" s="65" t="s">
        <v>956</v>
      </c>
    </row>
    <row r="170" customHeight="1" spans="1:11">
      <c r="A170" s="65" t="s">
        <v>998</v>
      </c>
      <c r="B170" s="9" t="s">
        <v>225</v>
      </c>
      <c r="D170" s="44"/>
      <c r="G170" s="65" t="s">
        <v>999</v>
      </c>
      <c r="H170" s="65"/>
      <c r="I170" s="65" t="s">
        <v>1000</v>
      </c>
      <c r="J170" s="65"/>
      <c r="K170" s="65" t="s">
        <v>979</v>
      </c>
    </row>
    <row r="171" customHeight="1" spans="1:11">
      <c r="A171" s="65" t="s">
        <v>1001</v>
      </c>
      <c r="B171" s="9" t="s">
        <v>225</v>
      </c>
      <c r="D171" s="44"/>
      <c r="G171" s="65" t="s">
        <v>1002</v>
      </c>
      <c r="H171" s="65"/>
      <c r="I171" s="65" t="s">
        <v>1003</v>
      </c>
      <c r="J171" s="65"/>
      <c r="K171" s="65" t="s">
        <v>956</v>
      </c>
    </row>
    <row r="172" customHeight="1" spans="1:11">
      <c r="A172" s="65" t="s">
        <v>1004</v>
      </c>
      <c r="B172" s="9" t="s">
        <v>225</v>
      </c>
      <c r="D172" s="44"/>
      <c r="G172" s="65" t="s">
        <v>1005</v>
      </c>
      <c r="H172" s="65"/>
      <c r="I172" s="65" t="s">
        <v>1006</v>
      </c>
      <c r="J172" s="65"/>
      <c r="K172" s="65" t="s">
        <v>972</v>
      </c>
    </row>
    <row r="173" customHeight="1" spans="1:11">
      <c r="A173" s="65" t="s">
        <v>1007</v>
      </c>
      <c r="B173" s="9" t="s">
        <v>225</v>
      </c>
      <c r="D173" s="44"/>
      <c r="G173" s="65" t="s">
        <v>1008</v>
      </c>
      <c r="H173" s="65"/>
      <c r="I173" s="65" t="s">
        <v>1009</v>
      </c>
      <c r="J173" s="68" t="s">
        <v>1010</v>
      </c>
      <c r="K173" s="65" t="s">
        <v>972</v>
      </c>
    </row>
    <row r="174" customHeight="1" spans="1:11">
      <c r="A174" s="65" t="s">
        <v>1011</v>
      </c>
      <c r="B174" s="9" t="s">
        <v>225</v>
      </c>
      <c r="D174" s="44"/>
      <c r="G174" s="65" t="s">
        <v>1012</v>
      </c>
      <c r="H174" s="65"/>
      <c r="I174" s="65" t="s">
        <v>1013</v>
      </c>
      <c r="J174" s="65"/>
      <c r="K174" s="65" t="s">
        <v>979</v>
      </c>
    </row>
    <row r="175" customHeight="1" spans="1:11">
      <c r="A175" s="65" t="s">
        <v>1014</v>
      </c>
      <c r="B175" s="9" t="s">
        <v>225</v>
      </c>
      <c r="D175" s="44"/>
      <c r="G175" s="65" t="s">
        <v>1015</v>
      </c>
      <c r="H175" s="65"/>
      <c r="I175" s="65" t="s">
        <v>1016</v>
      </c>
      <c r="J175" s="65"/>
      <c r="K175" s="65" t="s">
        <v>968</v>
      </c>
    </row>
    <row r="176" customHeight="1" spans="1:11">
      <c r="A176" s="65" t="s">
        <v>1017</v>
      </c>
      <c r="B176" s="9" t="s">
        <v>225</v>
      </c>
      <c r="D176" s="44"/>
      <c r="G176" s="65" t="s">
        <v>1018</v>
      </c>
      <c r="H176" s="65"/>
      <c r="I176" s="65" t="s">
        <v>1019</v>
      </c>
      <c r="J176" s="65"/>
      <c r="K176" s="65" t="s">
        <v>972</v>
      </c>
    </row>
    <row r="177" customHeight="1" spans="1:11">
      <c r="A177" s="65" t="s">
        <v>1020</v>
      </c>
      <c r="B177" s="9" t="s">
        <v>225</v>
      </c>
      <c r="D177" s="44"/>
      <c r="G177" s="65" t="s">
        <v>1021</v>
      </c>
      <c r="H177" s="65"/>
      <c r="I177" s="65" t="s">
        <v>1022</v>
      </c>
      <c r="J177" s="65"/>
      <c r="K177" s="65" t="s">
        <v>1023</v>
      </c>
    </row>
    <row r="178" customHeight="1" spans="1:11">
      <c r="A178" s="65" t="s">
        <v>1024</v>
      </c>
      <c r="B178" s="9" t="s">
        <v>225</v>
      </c>
      <c r="D178" s="44"/>
      <c r="G178" s="65" t="s">
        <v>1025</v>
      </c>
      <c r="H178" s="65"/>
      <c r="I178" s="65" t="s">
        <v>1026</v>
      </c>
      <c r="J178" s="68" t="s">
        <v>1027</v>
      </c>
      <c r="K178" s="65" t="s">
        <v>968</v>
      </c>
    </row>
    <row r="179" customHeight="1" spans="1:11">
      <c r="A179" s="65" t="s">
        <v>1028</v>
      </c>
      <c r="B179" s="9" t="s">
        <v>225</v>
      </c>
      <c r="D179" s="44"/>
      <c r="G179" s="65" t="s">
        <v>1029</v>
      </c>
      <c r="H179" s="65"/>
      <c r="I179" s="65" t="s">
        <v>1030</v>
      </c>
      <c r="J179" s="65"/>
      <c r="K179" s="65" t="s">
        <v>968</v>
      </c>
    </row>
    <row r="180" customHeight="1" spans="1:11">
      <c r="A180" s="65" t="s">
        <v>1031</v>
      </c>
      <c r="B180" s="9" t="s">
        <v>225</v>
      </c>
      <c r="D180" s="44"/>
      <c r="G180" s="65" t="s">
        <v>1032</v>
      </c>
      <c r="H180" s="65"/>
      <c r="I180" s="65" t="s">
        <v>1033</v>
      </c>
      <c r="J180" s="68" t="s">
        <v>1034</v>
      </c>
      <c r="K180" s="65" t="s">
        <v>1035</v>
      </c>
    </row>
    <row r="181" customHeight="1" spans="1:11">
      <c r="A181" s="65" t="s">
        <v>1036</v>
      </c>
      <c r="B181" s="9" t="s">
        <v>225</v>
      </c>
      <c r="D181" s="44"/>
      <c r="G181" s="65" t="s">
        <v>1037</v>
      </c>
      <c r="H181" s="65"/>
      <c r="I181" s="65" t="s">
        <v>1038</v>
      </c>
      <c r="J181" s="65"/>
      <c r="K181" s="65" t="s">
        <v>968</v>
      </c>
    </row>
    <row r="182" customHeight="1" spans="1:11">
      <c r="A182" s="65" t="s">
        <v>1039</v>
      </c>
      <c r="B182" s="9" t="s">
        <v>225</v>
      </c>
      <c r="D182" s="44"/>
      <c r="G182" s="65" t="s">
        <v>1040</v>
      </c>
      <c r="H182" s="65"/>
      <c r="I182" s="65" t="s">
        <v>1041</v>
      </c>
      <c r="J182" s="65"/>
      <c r="K182" s="65" t="s">
        <v>1035</v>
      </c>
    </row>
    <row r="183" customHeight="1" spans="1:11">
      <c r="A183" s="65" t="s">
        <v>1042</v>
      </c>
      <c r="B183" s="9" t="s">
        <v>225</v>
      </c>
      <c r="D183" s="44"/>
      <c r="G183" s="65" t="s">
        <v>1043</v>
      </c>
      <c r="H183" s="65"/>
      <c r="I183" s="65" t="s">
        <v>1044</v>
      </c>
      <c r="J183" s="68" t="s">
        <v>1045</v>
      </c>
      <c r="K183" s="65" t="s">
        <v>1046</v>
      </c>
    </row>
    <row r="184" customHeight="1" spans="1:11">
      <c r="A184" s="65" t="s">
        <v>1047</v>
      </c>
      <c r="B184" s="9" t="s">
        <v>225</v>
      </c>
      <c r="D184" s="44"/>
      <c r="G184" s="65" t="s">
        <v>1048</v>
      </c>
      <c r="H184" s="65"/>
      <c r="I184" s="65" t="s">
        <v>1049</v>
      </c>
      <c r="J184" s="65"/>
      <c r="K184" s="65" t="s">
        <v>972</v>
      </c>
    </row>
    <row r="185" customHeight="1" spans="1:11">
      <c r="A185" s="65" t="s">
        <v>1050</v>
      </c>
      <c r="B185" s="9" t="s">
        <v>225</v>
      </c>
      <c r="D185" s="44"/>
      <c r="G185" s="65" t="s">
        <v>1051</v>
      </c>
      <c r="H185" s="65"/>
      <c r="I185" s="65" t="s">
        <v>1052</v>
      </c>
      <c r="J185" s="65"/>
      <c r="K185" s="65" t="s">
        <v>968</v>
      </c>
    </row>
    <row r="186" customHeight="1" spans="1:11">
      <c r="A186" s="65" t="s">
        <v>1053</v>
      </c>
      <c r="B186" s="9" t="s">
        <v>225</v>
      </c>
      <c r="D186" s="44"/>
      <c r="G186" s="65" t="s">
        <v>1054</v>
      </c>
      <c r="H186" s="65"/>
      <c r="I186" s="65" t="s">
        <v>1055</v>
      </c>
      <c r="J186" s="68" t="s">
        <v>1056</v>
      </c>
      <c r="K186" s="65" t="s">
        <v>968</v>
      </c>
    </row>
    <row r="187" customHeight="1" spans="1:11">
      <c r="A187" s="65" t="s">
        <v>1057</v>
      </c>
      <c r="B187" s="9" t="s">
        <v>225</v>
      </c>
      <c r="D187" s="44"/>
      <c r="G187" s="65" t="s">
        <v>1058</v>
      </c>
      <c r="H187" s="65"/>
      <c r="I187" s="65" t="s">
        <v>1059</v>
      </c>
      <c r="J187" s="65"/>
      <c r="K187" s="65" t="s">
        <v>972</v>
      </c>
    </row>
    <row r="188" customHeight="1" spans="1:11">
      <c r="A188" s="65" t="s">
        <v>1060</v>
      </c>
      <c r="B188" s="9" t="s">
        <v>225</v>
      </c>
      <c r="D188" s="44"/>
      <c r="G188" s="65" t="s">
        <v>1061</v>
      </c>
      <c r="H188" s="65"/>
      <c r="I188" s="65" t="s">
        <v>1062</v>
      </c>
      <c r="J188" s="68" t="s">
        <v>1063</v>
      </c>
      <c r="K188" s="65" t="s">
        <v>972</v>
      </c>
    </row>
    <row r="189" customHeight="1" spans="1:11">
      <c r="A189" s="65" t="s">
        <v>1064</v>
      </c>
      <c r="B189" s="9" t="s">
        <v>225</v>
      </c>
      <c r="D189" s="44"/>
      <c r="G189" s="65" t="s">
        <v>1065</v>
      </c>
      <c r="H189" s="65"/>
      <c r="I189" s="65" t="s">
        <v>1066</v>
      </c>
      <c r="J189" s="65"/>
      <c r="K189" s="65" t="s">
        <v>968</v>
      </c>
    </row>
    <row r="190" customHeight="1" spans="1:11">
      <c r="A190" s="65" t="s">
        <v>1067</v>
      </c>
      <c r="B190" s="9" t="s">
        <v>225</v>
      </c>
      <c r="D190" s="44"/>
      <c r="G190" s="65" t="s">
        <v>1068</v>
      </c>
      <c r="H190" s="65"/>
      <c r="I190" s="65" t="s">
        <v>1069</v>
      </c>
      <c r="J190" s="65"/>
      <c r="K190" s="65" t="s">
        <v>1070</v>
      </c>
    </row>
    <row r="191" customHeight="1" spans="1:11">
      <c r="A191" s="65" t="s">
        <v>1071</v>
      </c>
      <c r="B191" s="9" t="s">
        <v>225</v>
      </c>
      <c r="D191" s="44"/>
      <c r="G191" s="65" t="s">
        <v>1072</v>
      </c>
      <c r="H191" s="65"/>
      <c r="I191" s="65" t="s">
        <v>1073</v>
      </c>
      <c r="J191" s="65"/>
      <c r="K191" s="65" t="s">
        <v>1070</v>
      </c>
    </row>
    <row r="192" customHeight="1" spans="1:11">
      <c r="A192" s="65" t="s">
        <v>1074</v>
      </c>
      <c r="B192" s="9" t="s">
        <v>225</v>
      </c>
      <c r="D192" s="44"/>
      <c r="G192" s="65" t="s">
        <v>1075</v>
      </c>
      <c r="H192" s="65"/>
      <c r="I192" s="65" t="s">
        <v>1076</v>
      </c>
      <c r="J192" s="65"/>
      <c r="K192" s="65" t="s">
        <v>1035</v>
      </c>
    </row>
    <row r="193" customHeight="1" spans="1:11">
      <c r="A193" s="65" t="s">
        <v>1077</v>
      </c>
      <c r="B193" s="9" t="s">
        <v>225</v>
      </c>
      <c r="D193" s="44"/>
      <c r="G193" s="65" t="s">
        <v>1078</v>
      </c>
      <c r="H193" s="65"/>
      <c r="I193" s="65" t="s">
        <v>1079</v>
      </c>
      <c r="J193" s="68" t="s">
        <v>1080</v>
      </c>
      <c r="K193" s="65" t="s">
        <v>1035</v>
      </c>
    </row>
    <row r="194" customHeight="1" spans="1:11">
      <c r="A194" s="65" t="s">
        <v>1081</v>
      </c>
      <c r="B194" s="9" t="s">
        <v>225</v>
      </c>
      <c r="D194" s="44"/>
      <c r="G194" s="65" t="s">
        <v>1082</v>
      </c>
      <c r="H194" s="65"/>
      <c r="I194" s="65" t="s">
        <v>1083</v>
      </c>
      <c r="J194" s="65"/>
      <c r="K194" s="65" t="s">
        <v>1084</v>
      </c>
    </row>
    <row r="195" customHeight="1" spans="1:11">
      <c r="A195" s="65" t="s">
        <v>1085</v>
      </c>
      <c r="B195" s="9" t="s">
        <v>225</v>
      </c>
      <c r="D195" s="44"/>
      <c r="G195" s="65" t="s">
        <v>1086</v>
      </c>
      <c r="H195" s="65"/>
      <c r="I195" s="65" t="s">
        <v>1087</v>
      </c>
      <c r="J195" s="65"/>
      <c r="K195" s="65" t="s">
        <v>147</v>
      </c>
    </row>
    <row r="196" customHeight="1" spans="1:11">
      <c r="A196" s="65" t="s">
        <v>1088</v>
      </c>
      <c r="B196" s="9" t="s">
        <v>225</v>
      </c>
      <c r="D196" s="44"/>
      <c r="G196" s="65" t="s">
        <v>1089</v>
      </c>
      <c r="H196" s="65"/>
      <c r="I196" s="65" t="s">
        <v>1090</v>
      </c>
      <c r="J196" s="68" t="s">
        <v>1091</v>
      </c>
      <c r="K196" s="65" t="s">
        <v>1084</v>
      </c>
    </row>
    <row r="197" customHeight="1" spans="1:11">
      <c r="A197" s="65" t="s">
        <v>1092</v>
      </c>
      <c r="B197" s="9" t="s">
        <v>225</v>
      </c>
      <c r="D197" s="44"/>
      <c r="G197" s="65" t="s">
        <v>1093</v>
      </c>
      <c r="H197" s="65"/>
      <c r="I197" s="65" t="s">
        <v>1094</v>
      </c>
      <c r="J197" s="65"/>
      <c r="K197" s="65" t="s">
        <v>964</v>
      </c>
    </row>
    <row r="198" customHeight="1" spans="1:11">
      <c r="A198" s="65" t="s">
        <v>1095</v>
      </c>
      <c r="B198" s="9" t="s">
        <v>225</v>
      </c>
      <c r="D198" s="44"/>
      <c r="G198" s="65" t="s">
        <v>1096</v>
      </c>
      <c r="H198" s="65"/>
      <c r="I198" s="65" t="s">
        <v>1097</v>
      </c>
      <c r="J198" s="65"/>
      <c r="K198" s="65" t="s">
        <v>964</v>
      </c>
    </row>
    <row r="199" customHeight="1" spans="1:11">
      <c r="A199" s="65" t="s">
        <v>1098</v>
      </c>
      <c r="B199" s="9" t="s">
        <v>225</v>
      </c>
      <c r="D199" s="44"/>
      <c r="G199" s="65" t="s">
        <v>1099</v>
      </c>
      <c r="H199" s="65"/>
      <c r="I199" s="65" t="s">
        <v>1100</v>
      </c>
      <c r="J199" s="65"/>
      <c r="K199" s="65" t="s">
        <v>964</v>
      </c>
    </row>
    <row r="200" customHeight="1" spans="1:11">
      <c r="A200" s="65" t="s">
        <v>1101</v>
      </c>
      <c r="B200" s="9" t="s">
        <v>225</v>
      </c>
      <c r="D200" s="44"/>
      <c r="G200" s="65" t="s">
        <v>1102</v>
      </c>
      <c r="H200" s="65"/>
      <c r="I200" s="65" t="s">
        <v>1103</v>
      </c>
      <c r="J200" s="65"/>
      <c r="K200" s="65" t="s">
        <v>964</v>
      </c>
    </row>
    <row r="201" customHeight="1" spans="1:11">
      <c r="A201" s="65" t="s">
        <v>1104</v>
      </c>
      <c r="B201" s="9" t="s">
        <v>225</v>
      </c>
      <c r="D201" s="44"/>
      <c r="G201" s="65" t="s">
        <v>1105</v>
      </c>
      <c r="H201" s="65"/>
      <c r="I201" s="65" t="s">
        <v>1106</v>
      </c>
      <c r="J201" s="65"/>
      <c r="K201" s="65" t="s">
        <v>1070</v>
      </c>
    </row>
    <row r="202" customHeight="1" spans="1:11">
      <c r="A202" s="65" t="s">
        <v>1107</v>
      </c>
      <c r="B202" s="9" t="s">
        <v>225</v>
      </c>
      <c r="D202" s="44"/>
      <c r="G202" s="65" t="s">
        <v>1108</v>
      </c>
      <c r="H202" s="65"/>
      <c r="I202" s="65" t="s">
        <v>1109</v>
      </c>
      <c r="J202" s="65"/>
      <c r="K202" s="65" t="s">
        <v>147</v>
      </c>
    </row>
    <row r="203" customHeight="1" spans="1:11">
      <c r="A203" s="65" t="s">
        <v>1110</v>
      </c>
      <c r="B203" s="9" t="s">
        <v>225</v>
      </c>
      <c r="D203" s="44"/>
      <c r="G203" s="65" t="s">
        <v>1111</v>
      </c>
      <c r="H203" s="65"/>
      <c r="I203" s="65" t="s">
        <v>1112</v>
      </c>
      <c r="J203" s="65"/>
      <c r="K203" s="65" t="s">
        <v>147</v>
      </c>
    </row>
    <row r="204" customHeight="1" spans="1:11">
      <c r="A204" s="65" t="s">
        <v>1113</v>
      </c>
      <c r="B204" s="9" t="s">
        <v>225</v>
      </c>
      <c r="D204" s="44"/>
      <c r="G204" s="65" t="s">
        <v>1114</v>
      </c>
      <c r="H204" s="65"/>
      <c r="I204" s="65" t="s">
        <v>1115</v>
      </c>
      <c r="J204" s="65"/>
      <c r="K204" s="65" t="s">
        <v>956</v>
      </c>
    </row>
    <row r="205" customHeight="1" spans="1:11">
      <c r="A205" s="65" t="s">
        <v>1116</v>
      </c>
      <c r="B205" s="9" t="s">
        <v>225</v>
      </c>
      <c r="D205" s="44"/>
      <c r="G205" s="65" t="s">
        <v>1117</v>
      </c>
      <c r="H205" s="65"/>
      <c r="I205" s="65" t="s">
        <v>1118</v>
      </c>
      <c r="J205" s="65"/>
      <c r="K205" s="65" t="s">
        <v>956</v>
      </c>
    </row>
    <row r="206" customHeight="1" spans="1:11">
      <c r="A206" s="65" t="s">
        <v>1119</v>
      </c>
      <c r="B206" s="9" t="s">
        <v>225</v>
      </c>
      <c r="D206" s="44"/>
      <c r="G206" s="65" t="s">
        <v>1120</v>
      </c>
      <c r="H206" s="65"/>
      <c r="I206" s="65" t="s">
        <v>1121</v>
      </c>
      <c r="J206" s="65"/>
      <c r="K206" s="65" t="s">
        <v>972</v>
      </c>
    </row>
    <row r="207" customHeight="1" spans="1:11">
      <c r="A207" s="65" t="s">
        <v>1122</v>
      </c>
      <c r="B207" s="9" t="s">
        <v>225</v>
      </c>
      <c r="D207" s="44"/>
      <c r="G207" s="65" t="s">
        <v>1123</v>
      </c>
      <c r="H207" s="65"/>
      <c r="I207" s="65" t="s">
        <v>1124</v>
      </c>
      <c r="J207" s="65"/>
      <c r="K207" s="65" t="s">
        <v>972</v>
      </c>
    </row>
    <row r="208" customHeight="1" spans="1:11">
      <c r="A208" s="65" t="s">
        <v>1125</v>
      </c>
      <c r="B208" s="9" t="s">
        <v>225</v>
      </c>
      <c r="D208" s="44"/>
      <c r="G208" s="65" t="s">
        <v>1126</v>
      </c>
      <c r="H208" s="65"/>
      <c r="I208" s="65" t="s">
        <v>1127</v>
      </c>
      <c r="J208" s="65"/>
      <c r="K208" s="65" t="s">
        <v>968</v>
      </c>
    </row>
    <row r="209" customHeight="1" spans="1:11">
      <c r="A209" s="65" t="s">
        <v>1128</v>
      </c>
      <c r="B209" s="9" t="s">
        <v>225</v>
      </c>
      <c r="D209" s="44"/>
      <c r="G209" s="65" t="s">
        <v>1129</v>
      </c>
      <c r="H209" s="65"/>
      <c r="I209" s="65" t="s">
        <v>1130</v>
      </c>
      <c r="J209" s="65"/>
      <c r="K209" s="65" t="s">
        <v>1046</v>
      </c>
    </row>
    <row r="210" customHeight="1" spans="1:11">
      <c r="A210" s="65" t="s">
        <v>1131</v>
      </c>
      <c r="B210" s="9" t="s">
        <v>225</v>
      </c>
      <c r="D210" s="44"/>
      <c r="G210" s="65" t="s">
        <v>1132</v>
      </c>
      <c r="H210" s="65"/>
      <c r="I210" s="65" t="s">
        <v>1133</v>
      </c>
      <c r="J210" s="65"/>
      <c r="K210" s="65" t="s">
        <v>972</v>
      </c>
    </row>
    <row r="211" customHeight="1" spans="1:11">
      <c r="A211" s="65" t="s">
        <v>1134</v>
      </c>
      <c r="B211" s="9" t="s">
        <v>225</v>
      </c>
      <c r="D211" s="44"/>
      <c r="G211" s="65" t="s">
        <v>1135</v>
      </c>
      <c r="H211" s="65"/>
      <c r="I211" s="65" t="s">
        <v>1136</v>
      </c>
      <c r="J211" s="68" t="s">
        <v>1137</v>
      </c>
      <c r="K211" s="65" t="s">
        <v>1138</v>
      </c>
    </row>
    <row r="212" customHeight="1" spans="1:11">
      <c r="A212" s="65" t="s">
        <v>1139</v>
      </c>
      <c r="B212" s="9" t="s">
        <v>225</v>
      </c>
      <c r="D212" s="44"/>
      <c r="G212" s="65" t="s">
        <v>1140</v>
      </c>
      <c r="H212" s="65"/>
      <c r="I212" s="65" t="s">
        <v>1141</v>
      </c>
      <c r="J212" s="65"/>
      <c r="K212" s="65" t="s">
        <v>968</v>
      </c>
    </row>
    <row r="213" customHeight="1" spans="1:11">
      <c r="A213" s="65" t="s">
        <v>1142</v>
      </c>
      <c r="B213" s="9" t="s">
        <v>225</v>
      </c>
      <c r="D213" s="44"/>
      <c r="G213" s="65" t="s">
        <v>1143</v>
      </c>
      <c r="H213" s="65"/>
      <c r="I213" s="65" t="s">
        <v>1144</v>
      </c>
      <c r="J213" s="68" t="s">
        <v>1145</v>
      </c>
      <c r="K213" s="65" t="s">
        <v>972</v>
      </c>
    </row>
    <row r="214" customHeight="1" spans="1:11">
      <c r="A214" s="65" t="s">
        <v>1146</v>
      </c>
      <c r="B214" s="9" t="s">
        <v>225</v>
      </c>
      <c r="D214" s="44"/>
      <c r="G214" s="65" t="s">
        <v>1147</v>
      </c>
      <c r="H214" s="65"/>
      <c r="I214" s="65" t="s">
        <v>1148</v>
      </c>
      <c r="J214" s="65"/>
      <c r="K214" s="65" t="s">
        <v>964</v>
      </c>
    </row>
    <row r="215" customHeight="1" spans="1:11">
      <c r="A215" s="65" t="s">
        <v>1149</v>
      </c>
      <c r="B215" s="9" t="s">
        <v>225</v>
      </c>
      <c r="D215" s="44"/>
      <c r="G215" s="65" t="s">
        <v>1150</v>
      </c>
      <c r="H215" s="65"/>
      <c r="I215" s="65" t="s">
        <v>1151</v>
      </c>
      <c r="J215" s="65"/>
      <c r="K215" s="65" t="s">
        <v>1138</v>
      </c>
    </row>
    <row r="216" customHeight="1" spans="1:11">
      <c r="A216" s="65" t="s">
        <v>1152</v>
      </c>
      <c r="B216" s="9" t="s">
        <v>225</v>
      </c>
      <c r="D216" s="44"/>
      <c r="G216" s="65" t="s">
        <v>1153</v>
      </c>
      <c r="H216" s="65"/>
      <c r="I216" s="65" t="s">
        <v>1154</v>
      </c>
      <c r="J216" s="68" t="s">
        <v>1155</v>
      </c>
      <c r="K216" s="65" t="s">
        <v>972</v>
      </c>
    </row>
    <row r="217" customHeight="1" spans="1:11">
      <c r="A217" s="65" t="s">
        <v>1156</v>
      </c>
      <c r="B217" s="9" t="s">
        <v>225</v>
      </c>
      <c r="D217" s="44"/>
      <c r="G217" s="65" t="s">
        <v>1157</v>
      </c>
      <c r="H217" s="65"/>
      <c r="I217" s="65" t="s">
        <v>1158</v>
      </c>
      <c r="J217" s="68" t="s">
        <v>1159</v>
      </c>
      <c r="K217" s="65" t="s">
        <v>1046</v>
      </c>
    </row>
    <row r="218" customHeight="1" spans="1:11">
      <c r="A218" s="65" t="s">
        <v>1160</v>
      </c>
      <c r="B218" s="9" t="s">
        <v>225</v>
      </c>
      <c r="D218" s="44"/>
      <c r="G218" s="65" t="s">
        <v>1161</v>
      </c>
      <c r="H218" s="65"/>
      <c r="I218" s="65" t="s">
        <v>1162</v>
      </c>
      <c r="J218" s="65"/>
      <c r="K218" s="65" t="s">
        <v>956</v>
      </c>
    </row>
    <row r="219" customHeight="1" spans="1:11">
      <c r="A219" s="65" t="s">
        <v>1163</v>
      </c>
      <c r="B219" s="9" t="s">
        <v>225</v>
      </c>
      <c r="D219" s="44"/>
      <c r="G219" s="65" t="s">
        <v>1164</v>
      </c>
      <c r="H219" s="65"/>
      <c r="I219" s="65" t="s">
        <v>1165</v>
      </c>
      <c r="J219" s="65"/>
      <c r="K219" s="65" t="s">
        <v>968</v>
      </c>
    </row>
    <row r="220" customHeight="1" spans="1:11">
      <c r="A220" s="65" t="s">
        <v>1166</v>
      </c>
      <c r="B220" s="9" t="s">
        <v>225</v>
      </c>
      <c r="D220" s="44"/>
      <c r="G220" s="65" t="s">
        <v>1167</v>
      </c>
      <c r="H220" s="65"/>
      <c r="I220" s="65" t="s">
        <v>1168</v>
      </c>
      <c r="J220" s="65"/>
      <c r="K220" s="65" t="s">
        <v>1046</v>
      </c>
    </row>
    <row r="221" customHeight="1" spans="1:11">
      <c r="A221" s="65" t="s">
        <v>1169</v>
      </c>
      <c r="B221" s="9" t="s">
        <v>225</v>
      </c>
      <c r="D221" s="44"/>
      <c r="G221" s="65" t="s">
        <v>1170</v>
      </c>
      <c r="H221" s="65"/>
      <c r="I221" s="65" t="s">
        <v>1171</v>
      </c>
      <c r="J221" s="68" t="s">
        <v>1172</v>
      </c>
      <c r="K221" s="65" t="s">
        <v>1035</v>
      </c>
    </row>
    <row r="222" customHeight="1" spans="1:11">
      <c r="A222" s="65" t="s">
        <v>1173</v>
      </c>
      <c r="B222" s="9" t="s">
        <v>225</v>
      </c>
      <c r="D222" s="44"/>
      <c r="G222" s="65" t="s">
        <v>1174</v>
      </c>
      <c r="H222" s="65"/>
      <c r="I222" s="65" t="s">
        <v>1175</v>
      </c>
      <c r="J222" s="68" t="s">
        <v>1176</v>
      </c>
      <c r="K222" s="65" t="s">
        <v>147</v>
      </c>
    </row>
    <row r="223" customHeight="1" spans="1:11">
      <c r="A223" s="65" t="s">
        <v>1177</v>
      </c>
      <c r="B223" s="9" t="s">
        <v>225</v>
      </c>
      <c r="D223" s="44"/>
      <c r="G223" s="65" t="s">
        <v>1178</v>
      </c>
      <c r="H223" s="65"/>
      <c r="I223" s="65" t="s">
        <v>1179</v>
      </c>
      <c r="J223" s="65"/>
      <c r="K223" s="65" t="s">
        <v>147</v>
      </c>
    </row>
    <row r="224" customHeight="1" spans="1:11">
      <c r="A224" s="65" t="s">
        <v>1180</v>
      </c>
      <c r="B224" s="9" t="s">
        <v>225</v>
      </c>
      <c r="D224" s="44"/>
      <c r="G224" s="65" t="s">
        <v>1181</v>
      </c>
      <c r="H224" s="65"/>
      <c r="I224" s="65" t="s">
        <v>1182</v>
      </c>
      <c r="J224" s="65"/>
      <c r="K224" s="65" t="s">
        <v>979</v>
      </c>
    </row>
    <row r="225" customHeight="1" spans="1:11">
      <c r="A225" s="65" t="s">
        <v>1183</v>
      </c>
      <c r="B225" s="9" t="s">
        <v>225</v>
      </c>
      <c r="D225" s="44"/>
      <c r="G225" s="65" t="s">
        <v>1184</v>
      </c>
      <c r="H225" s="65"/>
      <c r="I225" s="65" t="s">
        <v>1185</v>
      </c>
      <c r="J225" s="65"/>
      <c r="K225" s="65" t="s">
        <v>968</v>
      </c>
    </row>
    <row r="226" customHeight="1" spans="1:11">
      <c r="A226" s="65" t="s">
        <v>1186</v>
      </c>
      <c r="B226" s="9" t="s">
        <v>225</v>
      </c>
      <c r="D226" s="44"/>
      <c r="G226" s="65" t="s">
        <v>1187</v>
      </c>
      <c r="H226" s="65"/>
      <c r="I226" s="65" t="s">
        <v>1188</v>
      </c>
      <c r="J226" s="65"/>
      <c r="K226" s="65" t="s">
        <v>979</v>
      </c>
    </row>
    <row r="227" customHeight="1" spans="1:11">
      <c r="A227" s="65" t="s">
        <v>1189</v>
      </c>
      <c r="B227" s="9" t="s">
        <v>225</v>
      </c>
      <c r="D227" s="44"/>
      <c r="G227" s="65" t="s">
        <v>1190</v>
      </c>
      <c r="H227" s="65"/>
      <c r="I227" s="65" t="s">
        <v>1191</v>
      </c>
      <c r="J227" s="65"/>
      <c r="K227" s="65" t="s">
        <v>979</v>
      </c>
    </row>
    <row r="228" customHeight="1" spans="1:11">
      <c r="A228" s="65" t="s">
        <v>1192</v>
      </c>
      <c r="B228" s="9" t="s">
        <v>225</v>
      </c>
      <c r="D228" s="44"/>
      <c r="G228" s="65" t="s">
        <v>1193</v>
      </c>
      <c r="H228" s="65"/>
      <c r="I228" s="65" t="s">
        <v>1194</v>
      </c>
      <c r="J228" s="68" t="s">
        <v>1195</v>
      </c>
      <c r="K228" s="65" t="s">
        <v>968</v>
      </c>
    </row>
    <row r="229" customHeight="1" spans="1:11">
      <c r="A229" s="65" t="s">
        <v>1196</v>
      </c>
      <c r="B229" s="9" t="s">
        <v>225</v>
      </c>
      <c r="D229" s="44"/>
      <c r="G229" s="65" t="s">
        <v>1197</v>
      </c>
      <c r="H229" s="65"/>
      <c r="I229" s="65" t="s">
        <v>1198</v>
      </c>
      <c r="J229" s="65"/>
      <c r="K229" s="65" t="s">
        <v>968</v>
      </c>
    </row>
    <row r="230" customHeight="1" spans="1:11">
      <c r="A230" s="65" t="s">
        <v>1199</v>
      </c>
      <c r="B230" s="9" t="s">
        <v>225</v>
      </c>
      <c r="D230" s="44"/>
      <c r="G230" s="65" t="s">
        <v>1200</v>
      </c>
      <c r="H230" s="65"/>
      <c r="I230" s="65" t="s">
        <v>1188</v>
      </c>
      <c r="J230" s="65"/>
      <c r="K230" s="65" t="s">
        <v>147</v>
      </c>
    </row>
    <row r="231" customHeight="1" spans="1:11">
      <c r="A231" s="65" t="s">
        <v>1201</v>
      </c>
      <c r="B231" s="9" t="s">
        <v>225</v>
      </c>
      <c r="D231" s="44"/>
      <c r="G231" s="65" t="s">
        <v>1202</v>
      </c>
      <c r="H231" s="65"/>
      <c r="I231" s="65" t="s">
        <v>1203</v>
      </c>
      <c r="J231" s="68" t="s">
        <v>1204</v>
      </c>
      <c r="K231" s="65" t="s">
        <v>968</v>
      </c>
    </row>
    <row r="232" customHeight="1" spans="1:11">
      <c r="A232" s="65" t="s">
        <v>1205</v>
      </c>
      <c r="B232" s="9" t="s">
        <v>225</v>
      </c>
      <c r="D232" s="44"/>
      <c r="G232" s="65" t="s">
        <v>1206</v>
      </c>
      <c r="H232" s="65"/>
      <c r="I232" s="65" t="s">
        <v>1207</v>
      </c>
      <c r="J232" s="65"/>
      <c r="K232" s="65" t="s">
        <v>979</v>
      </c>
    </row>
    <row r="233" customHeight="1" spans="1:11">
      <c r="A233" s="65" t="s">
        <v>1208</v>
      </c>
      <c r="B233" s="9" t="s">
        <v>225</v>
      </c>
      <c r="D233" s="44"/>
      <c r="G233" s="65" t="s">
        <v>1209</v>
      </c>
      <c r="H233" s="65"/>
      <c r="I233" s="65" t="s">
        <v>1210</v>
      </c>
      <c r="J233" s="68" t="s">
        <v>1211</v>
      </c>
      <c r="K233" s="65" t="s">
        <v>960</v>
      </c>
    </row>
    <row r="234" customHeight="1" spans="1:11">
      <c r="A234" s="65" t="s">
        <v>1212</v>
      </c>
      <c r="B234" s="9" t="s">
        <v>225</v>
      </c>
      <c r="D234" s="44"/>
      <c r="G234" s="65" t="s">
        <v>1213</v>
      </c>
      <c r="H234" s="65"/>
      <c r="I234" s="65" t="s">
        <v>1214</v>
      </c>
      <c r="J234" s="65"/>
      <c r="K234" s="65" t="s">
        <v>1035</v>
      </c>
    </row>
    <row r="235" customHeight="1" spans="1:11">
      <c r="A235" s="65" t="s">
        <v>1215</v>
      </c>
      <c r="B235" s="9" t="s">
        <v>225</v>
      </c>
      <c r="D235" s="44"/>
      <c r="G235" s="65" t="s">
        <v>1216</v>
      </c>
      <c r="H235" s="65"/>
      <c r="I235" s="65" t="s">
        <v>1217</v>
      </c>
      <c r="J235" s="65"/>
      <c r="K235" s="65" t="s">
        <v>147</v>
      </c>
    </row>
    <row r="236" customHeight="1" spans="1:11">
      <c r="A236" s="65" t="s">
        <v>1218</v>
      </c>
      <c r="B236" s="9" t="s">
        <v>225</v>
      </c>
      <c r="D236" s="44"/>
      <c r="G236" s="65" t="s">
        <v>1219</v>
      </c>
      <c r="H236" s="65"/>
      <c r="I236" s="65" t="s">
        <v>1220</v>
      </c>
      <c r="J236" s="68" t="s">
        <v>1221</v>
      </c>
      <c r="K236" s="65" t="s">
        <v>960</v>
      </c>
    </row>
    <row r="237" customHeight="1" spans="1:11">
      <c r="A237" s="65" t="s">
        <v>1222</v>
      </c>
      <c r="B237" s="9" t="s">
        <v>225</v>
      </c>
      <c r="D237" s="44"/>
      <c r="G237" s="65" t="s">
        <v>1223</v>
      </c>
      <c r="H237" s="65"/>
      <c r="I237" s="65" t="s">
        <v>1224</v>
      </c>
      <c r="J237" s="65"/>
      <c r="K237" s="65" t="s">
        <v>960</v>
      </c>
    </row>
    <row r="238" customHeight="1" spans="1:11">
      <c r="A238" s="65" t="s">
        <v>1225</v>
      </c>
      <c r="B238" s="9" t="s">
        <v>225</v>
      </c>
      <c r="D238" s="44"/>
      <c r="G238" s="65" t="s">
        <v>1140</v>
      </c>
      <c r="H238" s="65"/>
      <c r="I238" s="65" t="s">
        <v>1141</v>
      </c>
      <c r="J238" s="65"/>
      <c r="K238" s="65" t="s">
        <v>968</v>
      </c>
    </row>
    <row r="239" customHeight="1" spans="1:11">
      <c r="A239" s="65" t="s">
        <v>1226</v>
      </c>
      <c r="B239" s="9" t="s">
        <v>225</v>
      </c>
      <c r="D239" s="44"/>
      <c r="G239" s="65" t="s">
        <v>1227</v>
      </c>
      <c r="H239" s="65"/>
      <c r="I239" s="65" t="s">
        <v>1228</v>
      </c>
      <c r="J239" s="65"/>
      <c r="K239" s="65" t="s">
        <v>1070</v>
      </c>
    </row>
    <row r="240" customHeight="1" spans="1:11">
      <c r="A240" s="65" t="s">
        <v>1229</v>
      </c>
      <c r="B240" s="9" t="s">
        <v>225</v>
      </c>
      <c r="D240" s="44"/>
      <c r="G240" s="65" t="s">
        <v>1230</v>
      </c>
      <c r="H240" s="65"/>
      <c r="I240" s="65" t="s">
        <v>1231</v>
      </c>
      <c r="J240" s="65"/>
      <c r="K240" s="65" t="s">
        <v>1046</v>
      </c>
    </row>
    <row r="241" customHeight="1" spans="1:11">
      <c r="A241" s="65" t="s">
        <v>1232</v>
      </c>
      <c r="B241" s="9" t="s">
        <v>225</v>
      </c>
      <c r="D241" s="44"/>
      <c r="G241" s="65" t="s">
        <v>1233</v>
      </c>
      <c r="H241" s="65"/>
      <c r="I241" s="65" t="s">
        <v>1234</v>
      </c>
      <c r="J241" s="65"/>
      <c r="K241" s="65" t="s">
        <v>956</v>
      </c>
    </row>
    <row r="242" customHeight="1" spans="1:12">
      <c r="A242" s="69" t="s">
        <v>1235</v>
      </c>
      <c r="B242" s="9" t="s">
        <v>511</v>
      </c>
      <c r="C242" s="9">
        <v>17900</v>
      </c>
      <c r="E242" s="44" t="s">
        <v>1236</v>
      </c>
      <c r="G242" s="45"/>
      <c r="H242" s="45"/>
      <c r="I242" s="45"/>
      <c r="J242" s="45"/>
      <c r="K242" s="45"/>
      <c r="L242" s="69" t="s">
        <v>1235</v>
      </c>
    </row>
    <row r="243" customHeight="1" spans="1:12">
      <c r="A243" s="45" t="s">
        <v>1237</v>
      </c>
      <c r="B243" s="9" t="s">
        <v>519</v>
      </c>
      <c r="D243" s="44"/>
      <c r="G243" s="45"/>
      <c r="H243" s="45"/>
      <c r="I243" s="45"/>
      <c r="J243" s="45"/>
      <c r="K243" s="45"/>
      <c r="L243" s="45"/>
    </row>
    <row r="244" customHeight="1" spans="1:12">
      <c r="A244" s="45" t="s">
        <v>1238</v>
      </c>
      <c r="B244" s="60"/>
      <c r="D244" s="44"/>
      <c r="G244" s="45"/>
      <c r="H244" s="45"/>
      <c r="I244" s="45"/>
      <c r="J244" s="45"/>
      <c r="K244" s="45"/>
      <c r="L244" s="45"/>
    </row>
    <row r="245" customHeight="1" spans="1:12">
      <c r="A245" s="45" t="s">
        <v>1239</v>
      </c>
      <c r="B245" s="60"/>
      <c r="D245" s="44"/>
      <c r="G245" s="45"/>
      <c r="H245" s="45"/>
      <c r="I245" s="45"/>
      <c r="J245" s="45"/>
      <c r="K245" s="45"/>
      <c r="L245" s="45"/>
    </row>
    <row r="246" customHeight="1" spans="1:12">
      <c r="A246" s="45" t="s">
        <v>1240</v>
      </c>
      <c r="B246" s="60"/>
      <c r="D246" s="44"/>
      <c r="G246" s="45"/>
      <c r="H246" s="45"/>
      <c r="I246" s="45"/>
      <c r="J246" s="45"/>
      <c r="K246" s="45"/>
      <c r="L246" s="45"/>
    </row>
    <row r="247" customHeight="1" spans="1:12">
      <c r="A247" s="45" t="s">
        <v>1241</v>
      </c>
      <c r="B247" s="9" t="s">
        <v>507</v>
      </c>
      <c r="D247" s="44"/>
      <c r="G247" s="45"/>
      <c r="H247" s="45"/>
      <c r="I247" s="45"/>
      <c r="J247" s="45"/>
      <c r="K247" s="45"/>
      <c r="L247" s="45"/>
    </row>
    <row r="248" customHeight="1" spans="1:12">
      <c r="A248" s="45" t="s">
        <v>1242</v>
      </c>
      <c r="B248" s="60"/>
      <c r="D248" s="44"/>
      <c r="G248" s="45"/>
      <c r="H248" s="45"/>
      <c r="I248" s="45"/>
      <c r="J248" s="45"/>
      <c r="K248" s="45"/>
      <c r="L248" s="45"/>
    </row>
    <row r="249" customHeight="1" spans="1:12">
      <c r="A249" s="45" t="s">
        <v>1243</v>
      </c>
      <c r="B249" s="60"/>
      <c r="D249" s="44"/>
      <c r="G249" s="45"/>
      <c r="H249" s="45"/>
      <c r="I249" s="45"/>
      <c r="J249" s="45"/>
      <c r="K249" s="45"/>
      <c r="L249" s="45"/>
    </row>
    <row r="250" customHeight="1" spans="1:12">
      <c r="A250" s="45" t="s">
        <v>1244</v>
      </c>
      <c r="B250" s="9" t="s">
        <v>511</v>
      </c>
      <c r="D250" s="44"/>
      <c r="G250" s="70" t="s">
        <v>1245</v>
      </c>
      <c r="H250" s="70" t="s">
        <v>1246</v>
      </c>
      <c r="I250" s="70" t="s">
        <v>1247</v>
      </c>
      <c r="J250" s="70" t="s">
        <v>1248</v>
      </c>
      <c r="K250" s="45"/>
      <c r="L250" s="45"/>
    </row>
    <row r="251" customHeight="1" spans="1:12">
      <c r="A251" s="71" t="s">
        <v>1249</v>
      </c>
      <c r="B251" s="9" t="s">
        <v>511</v>
      </c>
      <c r="D251" s="44"/>
      <c r="G251" s="71" t="s">
        <v>1250</v>
      </c>
      <c r="H251" s="71" t="s">
        <v>1251</v>
      </c>
      <c r="K251" s="45"/>
      <c r="L251" s="72" t="s">
        <v>1252</v>
      </c>
    </row>
    <row r="252" customHeight="1" spans="1:12">
      <c r="A252" s="71" t="s">
        <v>1253</v>
      </c>
      <c r="B252" s="9" t="s">
        <v>511</v>
      </c>
      <c r="D252" s="44"/>
      <c r="G252" s="71" t="s">
        <v>1254</v>
      </c>
      <c r="H252" s="71" t="s">
        <v>1255</v>
      </c>
      <c r="K252" s="45"/>
      <c r="L252" s="73"/>
    </row>
    <row r="253" customHeight="1" spans="1:12">
      <c r="A253" s="71" t="s">
        <v>1256</v>
      </c>
      <c r="B253" s="9" t="s">
        <v>511</v>
      </c>
      <c r="D253" s="44"/>
      <c r="G253" s="71" t="s">
        <v>1257</v>
      </c>
      <c r="H253" s="71" t="s">
        <v>1251</v>
      </c>
      <c r="K253" s="45"/>
      <c r="L253" s="72" t="s">
        <v>1258</v>
      </c>
    </row>
    <row r="254" customHeight="1" spans="1:12">
      <c r="A254" s="71" t="s">
        <v>1259</v>
      </c>
      <c r="B254" s="9" t="s">
        <v>511</v>
      </c>
      <c r="D254" s="44"/>
      <c r="G254" s="71" t="s">
        <v>1260</v>
      </c>
      <c r="H254" s="71" t="s">
        <v>1261</v>
      </c>
      <c r="K254" s="45"/>
      <c r="L254" s="72" t="s">
        <v>1262</v>
      </c>
    </row>
    <row r="255" customHeight="1" spans="1:12">
      <c r="A255" s="71" t="s">
        <v>1263</v>
      </c>
      <c r="B255" s="9" t="s">
        <v>511</v>
      </c>
      <c r="D255" s="44"/>
      <c r="G255" s="71" t="s">
        <v>1264</v>
      </c>
      <c r="H255" s="71" t="s">
        <v>1251</v>
      </c>
      <c r="K255" s="45"/>
      <c r="L255" s="73"/>
    </row>
    <row r="256" customHeight="1" spans="1:12">
      <c r="A256" s="71" t="s">
        <v>1265</v>
      </c>
      <c r="B256" s="9" t="s">
        <v>511</v>
      </c>
      <c r="D256" s="44"/>
      <c r="G256" s="71" t="s">
        <v>1266</v>
      </c>
      <c r="H256" s="71" t="s">
        <v>1251</v>
      </c>
      <c r="K256" s="45"/>
      <c r="L256" s="73"/>
    </row>
    <row r="257" customHeight="1" spans="1:12">
      <c r="A257" s="71" t="s">
        <v>1267</v>
      </c>
      <c r="B257" s="9" t="s">
        <v>511</v>
      </c>
      <c r="D257" s="44"/>
      <c r="G257" s="71" t="s">
        <v>1268</v>
      </c>
      <c r="H257" s="71" t="s">
        <v>1269</v>
      </c>
      <c r="K257" s="45"/>
      <c r="L257" s="73"/>
    </row>
    <row r="258" customHeight="1" spans="1:12">
      <c r="A258" s="71" t="s">
        <v>1270</v>
      </c>
      <c r="B258" s="9" t="s">
        <v>511</v>
      </c>
      <c r="D258" s="44"/>
      <c r="G258" s="71" t="s">
        <v>1271</v>
      </c>
      <c r="H258" s="71" t="s">
        <v>1272</v>
      </c>
      <c r="K258" s="45"/>
      <c r="L258" s="72" t="s">
        <v>1273</v>
      </c>
    </row>
    <row r="259" customHeight="1" spans="1:12">
      <c r="A259" s="71" t="s">
        <v>1274</v>
      </c>
      <c r="B259" s="9" t="s">
        <v>511</v>
      </c>
      <c r="D259" s="44"/>
      <c r="G259" s="71" t="s">
        <v>1275</v>
      </c>
      <c r="H259" s="71" t="s">
        <v>1276</v>
      </c>
      <c r="K259" s="45"/>
      <c r="L259" s="72" t="s">
        <v>1277</v>
      </c>
    </row>
    <row r="260" customHeight="1" spans="1:12">
      <c r="A260" s="71" t="s">
        <v>1278</v>
      </c>
      <c r="B260" s="9" t="s">
        <v>511</v>
      </c>
      <c r="D260" s="44"/>
      <c r="G260" s="71" t="s">
        <v>1279</v>
      </c>
      <c r="H260" s="71" t="s">
        <v>1251</v>
      </c>
      <c r="K260" s="45"/>
      <c r="L260" s="72" t="s">
        <v>1280</v>
      </c>
    </row>
    <row r="261" customHeight="1" spans="1:12">
      <c r="A261" s="71" t="s">
        <v>1281</v>
      </c>
      <c r="B261" s="9" t="s">
        <v>511</v>
      </c>
      <c r="D261" s="44"/>
      <c r="G261" s="71" t="s">
        <v>1282</v>
      </c>
      <c r="H261" s="71" t="s">
        <v>1272</v>
      </c>
      <c r="K261" s="45"/>
      <c r="L261" s="72" t="s">
        <v>1283</v>
      </c>
    </row>
    <row r="262" customHeight="1" spans="1:12">
      <c r="A262" s="71" t="s">
        <v>1284</v>
      </c>
      <c r="B262" s="9" t="s">
        <v>511</v>
      </c>
      <c r="D262" s="44"/>
      <c r="G262" s="71" t="s">
        <v>1285</v>
      </c>
      <c r="H262" s="71" t="s">
        <v>1286</v>
      </c>
      <c r="K262" s="45"/>
      <c r="L262" s="72" t="s">
        <v>1287</v>
      </c>
    </row>
    <row r="263" customHeight="1" spans="1:12">
      <c r="A263" s="71" t="s">
        <v>1288</v>
      </c>
      <c r="B263" s="9" t="s">
        <v>511</v>
      </c>
      <c r="D263" s="44"/>
      <c r="G263" s="71" t="s">
        <v>1289</v>
      </c>
      <c r="H263" s="71" t="s">
        <v>1255</v>
      </c>
      <c r="K263" s="45"/>
      <c r="L263" s="72" t="s">
        <v>1290</v>
      </c>
    </row>
    <row r="264" customHeight="1" spans="1:12">
      <c r="A264" s="71" t="s">
        <v>1291</v>
      </c>
      <c r="B264" s="9" t="s">
        <v>511</v>
      </c>
      <c r="D264" s="44"/>
      <c r="G264" s="71" t="s">
        <v>1292</v>
      </c>
      <c r="H264" s="71" t="s">
        <v>1251</v>
      </c>
      <c r="K264" s="45"/>
      <c r="L264" s="72" t="s">
        <v>1293</v>
      </c>
    </row>
    <row r="265" customHeight="1" spans="1:12">
      <c r="A265" s="71" t="s">
        <v>1294</v>
      </c>
      <c r="B265" s="9" t="s">
        <v>511</v>
      </c>
      <c r="D265" s="44"/>
      <c r="G265" s="71" t="s">
        <v>1295</v>
      </c>
      <c r="H265" s="71" t="s">
        <v>1296</v>
      </c>
      <c r="K265" s="45"/>
      <c r="L265" s="73"/>
    </row>
    <row r="266" customHeight="1" spans="1:12">
      <c r="A266" s="71" t="s">
        <v>1297</v>
      </c>
      <c r="B266" s="9" t="s">
        <v>511</v>
      </c>
      <c r="D266" s="44"/>
      <c r="G266" s="72" t="s">
        <v>1298</v>
      </c>
      <c r="H266" s="73"/>
      <c r="K266" s="45"/>
      <c r="L266" s="73"/>
    </row>
    <row r="267" customHeight="1" spans="1:12">
      <c r="A267" s="71" t="s">
        <v>1299</v>
      </c>
      <c r="B267" s="9" t="s">
        <v>511</v>
      </c>
      <c r="D267" s="44"/>
      <c r="G267" s="72" t="s">
        <v>1300</v>
      </c>
      <c r="H267" s="71" t="s">
        <v>1301</v>
      </c>
      <c r="K267" s="45"/>
      <c r="L267" s="72" t="s">
        <v>1302</v>
      </c>
    </row>
    <row r="268" customHeight="1" spans="1:12">
      <c r="A268" s="45"/>
      <c r="B268" s="60"/>
      <c r="D268" s="44"/>
      <c r="G268" s="45"/>
      <c r="H268" s="45"/>
      <c r="J268" s="45"/>
      <c r="K268" s="45"/>
      <c r="L268" s="45"/>
    </row>
    <row r="269" customHeight="1" spans="1:12">
      <c r="A269" s="45"/>
      <c r="B269" s="60"/>
      <c r="D269" s="44"/>
      <c r="G269" s="45"/>
      <c r="H269" s="45"/>
      <c r="I269" s="45"/>
      <c r="J269" s="45"/>
      <c r="K269" s="45"/>
      <c r="L269" s="45"/>
    </row>
    <row r="270" customHeight="1" spans="1:12">
      <c r="A270" s="45"/>
      <c r="B270" s="60"/>
      <c r="D270" s="44"/>
      <c r="G270" s="45"/>
      <c r="H270" s="45"/>
      <c r="I270" s="45"/>
      <c r="J270" s="45"/>
      <c r="K270" s="45"/>
      <c r="L270" s="45"/>
    </row>
    <row r="271" customHeight="1" spans="1:12">
      <c r="A271" s="45"/>
      <c r="B271" s="60"/>
      <c r="D271" s="44"/>
      <c r="G271" s="45"/>
      <c r="H271" s="45"/>
      <c r="I271" s="45"/>
      <c r="J271" s="45"/>
      <c r="K271" s="45"/>
      <c r="L271" s="45"/>
    </row>
    <row r="272" customHeight="1" spans="1:12">
      <c r="A272" s="45"/>
      <c r="B272" s="60"/>
      <c r="D272" s="44"/>
      <c r="G272" s="45"/>
      <c r="H272" s="45"/>
      <c r="I272" s="45"/>
      <c r="J272" s="45"/>
      <c r="K272" s="45"/>
      <c r="L272" s="45"/>
    </row>
    <row r="273" customHeight="1" spans="1:12">
      <c r="A273" s="45"/>
      <c r="B273" s="60"/>
      <c r="D273" s="44"/>
      <c r="G273" s="45"/>
      <c r="H273" s="45"/>
      <c r="I273" s="45"/>
      <c r="J273" s="45"/>
      <c r="K273" s="45"/>
      <c r="L273" s="45"/>
    </row>
    <row r="274" customHeight="1" spans="1:12">
      <c r="A274" s="45"/>
      <c r="B274" s="60"/>
      <c r="D274" s="44"/>
      <c r="G274" s="45"/>
      <c r="H274" s="45"/>
      <c r="I274" s="45"/>
      <c r="J274" s="45"/>
      <c r="K274" s="45"/>
      <c r="L274" s="45"/>
    </row>
    <row r="275" customHeight="1" spans="1:12">
      <c r="A275" s="45"/>
      <c r="B275" s="60"/>
      <c r="D275" s="44"/>
      <c r="G275" s="45"/>
      <c r="H275" s="45"/>
      <c r="I275" s="45"/>
      <c r="J275" s="45"/>
      <c r="K275" s="45"/>
      <c r="L275" s="45"/>
    </row>
    <row r="276" customHeight="1" spans="1:12">
      <c r="A276" s="45"/>
      <c r="B276" s="60"/>
      <c r="D276" s="44"/>
      <c r="G276" s="45"/>
      <c r="H276" s="45"/>
      <c r="I276" s="45"/>
      <c r="J276" s="45"/>
      <c r="K276" s="45"/>
      <c r="L276" s="45"/>
    </row>
    <row r="277" customHeight="1" spans="1:12">
      <c r="A277" s="45"/>
      <c r="B277" s="60"/>
      <c r="D277" s="44"/>
      <c r="G277" s="45"/>
      <c r="H277" s="45"/>
      <c r="I277" s="45"/>
      <c r="J277" s="45"/>
      <c r="K277" s="45"/>
      <c r="L277" s="45"/>
    </row>
    <row r="278" customHeight="1" spans="1:12">
      <c r="A278" s="45"/>
      <c r="B278" s="60"/>
      <c r="D278" s="44"/>
      <c r="G278" s="45"/>
      <c r="H278" s="45"/>
      <c r="I278" s="45"/>
      <c r="J278" s="45"/>
      <c r="K278" s="45"/>
      <c r="L278" s="45"/>
    </row>
    <row r="279" customHeight="1" spans="1:12">
      <c r="A279" s="45"/>
      <c r="B279" s="60"/>
      <c r="D279" s="44"/>
      <c r="G279" s="45"/>
      <c r="H279" s="45"/>
      <c r="I279" s="45"/>
      <c r="J279" s="45"/>
      <c r="K279" s="45"/>
      <c r="L279" s="45"/>
    </row>
    <row r="280" customHeight="1" spans="1:12">
      <c r="A280" s="45"/>
      <c r="B280" s="60"/>
      <c r="D280" s="44"/>
      <c r="G280" s="45"/>
      <c r="H280" s="45"/>
      <c r="I280" s="45"/>
      <c r="J280" s="45"/>
      <c r="K280" s="45"/>
      <c r="L280" s="45"/>
    </row>
    <row r="281" customHeight="1" spans="1:12">
      <c r="A281" s="45"/>
      <c r="B281" s="60"/>
      <c r="D281" s="44"/>
      <c r="G281" s="45"/>
      <c r="H281" s="45"/>
      <c r="I281" s="45"/>
      <c r="J281" s="45"/>
      <c r="K281" s="45"/>
      <c r="L281" s="45"/>
    </row>
    <row r="282" customHeight="1" spans="1:12">
      <c r="A282" s="45"/>
      <c r="B282" s="60"/>
      <c r="D282" s="44"/>
      <c r="G282" s="45"/>
      <c r="H282" s="45"/>
      <c r="I282" s="45"/>
      <c r="J282" s="45"/>
      <c r="K282" s="45"/>
      <c r="L282" s="45"/>
    </row>
    <row r="283" customHeight="1" spans="1:12">
      <c r="A283" s="45"/>
      <c r="B283" s="60"/>
      <c r="D283" s="44"/>
      <c r="G283" s="45"/>
      <c r="H283" s="45"/>
      <c r="I283" s="45"/>
      <c r="J283" s="45"/>
      <c r="K283" s="45"/>
      <c r="L283" s="45"/>
    </row>
    <row r="284" customHeight="1" spans="1:12">
      <c r="A284" s="45"/>
      <c r="B284" s="60"/>
      <c r="D284" s="44"/>
      <c r="G284" s="45"/>
      <c r="H284" s="45"/>
      <c r="I284" s="45"/>
      <c r="J284" s="45"/>
      <c r="K284" s="45"/>
      <c r="L284" s="45"/>
    </row>
    <row r="285" customHeight="1" spans="1:12">
      <c r="A285" s="45"/>
      <c r="B285" s="60"/>
      <c r="D285" s="44"/>
      <c r="G285" s="45"/>
      <c r="H285" s="45"/>
      <c r="I285" s="45"/>
      <c r="J285" s="45"/>
      <c r="K285" s="45"/>
      <c r="L285" s="45"/>
    </row>
    <row r="286" customHeight="1" spans="1:12">
      <c r="A286" s="45"/>
      <c r="B286" s="60"/>
      <c r="D286" s="44"/>
      <c r="G286" s="45"/>
      <c r="H286" s="45"/>
      <c r="I286" s="45"/>
      <c r="J286" s="45"/>
      <c r="K286" s="45"/>
      <c r="L286" s="45"/>
    </row>
    <row r="287" customHeight="1" spans="1:12">
      <c r="A287" s="45"/>
      <c r="B287" s="60"/>
      <c r="D287" s="44"/>
      <c r="G287" s="45"/>
      <c r="H287" s="45"/>
      <c r="I287" s="45"/>
      <c r="J287" s="45"/>
      <c r="K287" s="45"/>
      <c r="L287" s="45"/>
    </row>
    <row r="288" customHeight="1" spans="1:12">
      <c r="A288" s="45"/>
      <c r="B288" s="60"/>
      <c r="D288" s="44"/>
      <c r="G288" s="45"/>
      <c r="H288" s="45"/>
      <c r="I288" s="45"/>
      <c r="J288" s="45"/>
      <c r="K288" s="45"/>
      <c r="L288" s="45"/>
    </row>
    <row r="289" customHeight="1" spans="1:12">
      <c r="A289" s="45"/>
      <c r="B289" s="60"/>
      <c r="D289" s="44"/>
      <c r="G289" s="45"/>
      <c r="H289" s="45"/>
      <c r="I289" s="45"/>
      <c r="J289" s="45"/>
      <c r="K289" s="45"/>
      <c r="L289" s="45"/>
    </row>
    <row r="290" customHeight="1" spans="1:12">
      <c r="A290" s="45"/>
      <c r="B290" s="60"/>
      <c r="D290" s="44"/>
      <c r="G290" s="45"/>
      <c r="H290" s="45"/>
      <c r="I290" s="45"/>
      <c r="J290" s="45"/>
      <c r="K290" s="45"/>
      <c r="L290" s="45"/>
    </row>
    <row r="291" customHeight="1" spans="1:12">
      <c r="A291" s="45"/>
      <c r="B291" s="60"/>
      <c r="D291" s="44"/>
      <c r="G291" s="45"/>
      <c r="H291" s="45"/>
      <c r="I291" s="45"/>
      <c r="J291" s="45"/>
      <c r="K291" s="45"/>
      <c r="L291" s="45"/>
    </row>
    <row r="292" customHeight="1" spans="1:12">
      <c r="A292" s="45"/>
      <c r="B292" s="60"/>
      <c r="D292" s="44"/>
      <c r="G292" s="45"/>
      <c r="H292" s="45"/>
      <c r="I292" s="45"/>
      <c r="J292" s="45"/>
      <c r="K292" s="45"/>
      <c r="L292" s="45"/>
    </row>
    <row r="293" customHeight="1" spans="1:12">
      <c r="A293" s="45"/>
      <c r="B293" s="60"/>
      <c r="D293" s="44"/>
      <c r="G293" s="45"/>
      <c r="H293" s="45"/>
      <c r="I293" s="45"/>
      <c r="J293" s="45"/>
      <c r="K293" s="45"/>
      <c r="L293" s="45"/>
    </row>
    <row r="294" customHeight="1" spans="1:12">
      <c r="A294" s="45"/>
      <c r="B294" s="60"/>
      <c r="D294" s="44"/>
      <c r="G294" s="45"/>
      <c r="H294" s="45"/>
      <c r="I294" s="45"/>
      <c r="J294" s="45"/>
      <c r="K294" s="45"/>
      <c r="L294" s="45"/>
    </row>
    <row r="295" customHeight="1" spans="1:12">
      <c r="A295" s="45"/>
      <c r="B295" s="60"/>
      <c r="D295" s="44"/>
      <c r="G295" s="45"/>
      <c r="H295" s="45"/>
      <c r="I295" s="45"/>
      <c r="J295" s="45"/>
      <c r="K295" s="45"/>
      <c r="L295" s="45"/>
    </row>
    <row r="296" customHeight="1" spans="1:12">
      <c r="A296" s="45"/>
      <c r="B296" s="60"/>
      <c r="D296" s="44"/>
      <c r="G296" s="45"/>
      <c r="H296" s="45"/>
      <c r="I296" s="45"/>
      <c r="J296" s="45"/>
      <c r="K296" s="45"/>
      <c r="L296" s="45"/>
    </row>
    <row r="297" customHeight="1" spans="1:12">
      <c r="A297" s="45"/>
      <c r="B297" s="60"/>
      <c r="D297" s="44"/>
      <c r="G297" s="45"/>
      <c r="H297" s="45"/>
      <c r="I297" s="45"/>
      <c r="J297" s="45"/>
      <c r="K297" s="45"/>
      <c r="L297" s="45"/>
    </row>
    <row r="298" customHeight="1" spans="1:12">
      <c r="A298" s="45"/>
      <c r="B298" s="60"/>
      <c r="D298" s="44"/>
      <c r="G298" s="45"/>
      <c r="H298" s="45"/>
      <c r="I298" s="45"/>
      <c r="J298" s="45"/>
      <c r="K298" s="45"/>
      <c r="L298" s="45"/>
    </row>
    <row r="299" customHeight="1" spans="1:12">
      <c r="A299" s="45"/>
      <c r="B299" s="60"/>
      <c r="D299" s="44"/>
      <c r="G299" s="45"/>
      <c r="H299" s="45"/>
      <c r="I299" s="45"/>
      <c r="J299" s="45"/>
      <c r="K299" s="45"/>
      <c r="L299" s="45"/>
    </row>
    <row r="300" customHeight="1" spans="1:12">
      <c r="A300" s="45"/>
      <c r="B300" s="60"/>
      <c r="D300" s="44"/>
      <c r="G300" s="45"/>
      <c r="H300" s="45"/>
      <c r="I300" s="45"/>
      <c r="J300" s="45"/>
      <c r="K300" s="45"/>
      <c r="L300" s="45"/>
    </row>
    <row r="301" customHeight="1" spans="1:12">
      <c r="A301" s="45"/>
      <c r="B301" s="60"/>
      <c r="D301" s="44"/>
      <c r="G301" s="45"/>
      <c r="H301" s="45"/>
      <c r="I301" s="45"/>
      <c r="J301" s="45"/>
      <c r="K301" s="45"/>
      <c r="L301" s="45"/>
    </row>
    <row r="302" customHeight="1" spans="1:12">
      <c r="A302" s="45"/>
      <c r="B302" s="60"/>
      <c r="D302" s="44"/>
      <c r="G302" s="45"/>
      <c r="H302" s="45"/>
      <c r="I302" s="45"/>
      <c r="J302" s="45"/>
      <c r="K302" s="45"/>
      <c r="L302" s="45"/>
    </row>
    <row r="303" customHeight="1" spans="1:12">
      <c r="A303" s="45"/>
      <c r="B303" s="60"/>
      <c r="D303" s="44"/>
      <c r="G303" s="45"/>
      <c r="H303" s="45"/>
      <c r="I303" s="45"/>
      <c r="J303" s="45"/>
      <c r="K303" s="45"/>
      <c r="L303" s="45"/>
    </row>
    <row r="304" customHeight="1" spans="1:12">
      <c r="A304" s="45"/>
      <c r="B304" s="60"/>
      <c r="D304" s="44"/>
      <c r="G304" s="45"/>
      <c r="H304" s="45"/>
      <c r="I304" s="45"/>
      <c r="J304" s="45"/>
      <c r="K304" s="45"/>
      <c r="L304" s="45"/>
    </row>
    <row r="305" customHeight="1" spans="1:12">
      <c r="A305" s="45"/>
      <c r="B305" s="60"/>
      <c r="D305" s="44"/>
      <c r="G305" s="45"/>
      <c r="H305" s="45"/>
      <c r="I305" s="45"/>
      <c r="J305" s="45"/>
      <c r="K305" s="45"/>
      <c r="L305" s="45"/>
    </row>
    <row r="306" customHeight="1" spans="1:12">
      <c r="A306" s="45"/>
      <c r="B306" s="60"/>
      <c r="D306" s="44"/>
      <c r="G306" s="45"/>
      <c r="H306" s="45"/>
      <c r="I306" s="45"/>
      <c r="J306" s="45"/>
      <c r="K306" s="45"/>
      <c r="L306" s="45"/>
    </row>
    <row r="307" customHeight="1" spans="1:12">
      <c r="A307" s="45"/>
      <c r="B307" s="60"/>
      <c r="D307" s="44"/>
      <c r="G307" s="45"/>
      <c r="H307" s="45"/>
      <c r="I307" s="45"/>
      <c r="J307" s="45"/>
      <c r="K307" s="45"/>
      <c r="L307" s="45"/>
    </row>
    <row r="308" customHeight="1" spans="1:12">
      <c r="A308" s="45"/>
      <c r="B308" s="60"/>
      <c r="D308" s="44"/>
      <c r="G308" s="45"/>
      <c r="H308" s="45"/>
      <c r="I308" s="45"/>
      <c r="J308" s="45"/>
      <c r="K308" s="45"/>
      <c r="L308" s="45"/>
    </row>
    <row r="309" customHeight="1" spans="1:12">
      <c r="A309" s="45"/>
      <c r="B309" s="60"/>
      <c r="D309" s="44"/>
      <c r="G309" s="45"/>
      <c r="H309" s="45"/>
      <c r="I309" s="45"/>
      <c r="J309" s="45"/>
      <c r="K309" s="45"/>
      <c r="L309" s="45"/>
    </row>
    <row r="310" customHeight="1" spans="1:12">
      <c r="A310" s="45"/>
      <c r="B310" s="60"/>
      <c r="D310" s="44"/>
      <c r="G310" s="45"/>
      <c r="H310" s="45"/>
      <c r="I310" s="45"/>
      <c r="J310" s="45"/>
      <c r="K310" s="45"/>
      <c r="L310" s="45"/>
    </row>
    <row r="311" customHeight="1" spans="1:12">
      <c r="A311" s="45"/>
      <c r="B311" s="60"/>
      <c r="D311" s="44"/>
      <c r="G311" s="45"/>
      <c r="H311" s="45"/>
      <c r="I311" s="45"/>
      <c r="J311" s="45"/>
      <c r="K311" s="45"/>
      <c r="L311" s="45"/>
    </row>
    <row r="312" customHeight="1" spans="1:12">
      <c r="A312" s="45"/>
      <c r="B312" s="60"/>
      <c r="D312" s="44"/>
      <c r="G312" s="45"/>
      <c r="H312" s="45"/>
      <c r="I312" s="45"/>
      <c r="J312" s="45"/>
      <c r="K312" s="45"/>
      <c r="L312" s="45"/>
    </row>
    <row r="313" customHeight="1" spans="1:12">
      <c r="A313" s="45"/>
      <c r="B313" s="60"/>
      <c r="D313" s="44"/>
      <c r="G313" s="45"/>
      <c r="H313" s="45"/>
      <c r="I313" s="45"/>
      <c r="J313" s="45"/>
      <c r="K313" s="45"/>
      <c r="L313" s="45"/>
    </row>
    <row r="314" customHeight="1" spans="1:12">
      <c r="A314" s="45"/>
      <c r="B314" s="60"/>
      <c r="D314" s="44"/>
      <c r="G314" s="45"/>
      <c r="H314" s="45"/>
      <c r="I314" s="45"/>
      <c r="J314" s="45"/>
      <c r="K314" s="45"/>
      <c r="L314" s="45"/>
    </row>
    <row r="315" customHeight="1" spans="1:12">
      <c r="A315" s="45"/>
      <c r="B315" s="60"/>
      <c r="D315" s="44"/>
      <c r="G315" s="45"/>
      <c r="H315" s="45"/>
      <c r="I315" s="45"/>
      <c r="J315" s="45"/>
      <c r="K315" s="45"/>
      <c r="L315" s="45"/>
    </row>
    <row r="316" customHeight="1" spans="1:12">
      <c r="A316" s="45"/>
      <c r="B316" s="60"/>
      <c r="D316" s="44"/>
      <c r="G316" s="45"/>
      <c r="H316" s="45"/>
      <c r="I316" s="45"/>
      <c r="J316" s="45"/>
      <c r="K316" s="45"/>
      <c r="L316" s="45"/>
    </row>
    <row r="317" customHeight="1" spans="1:12">
      <c r="A317" s="45"/>
      <c r="B317" s="60"/>
      <c r="D317" s="44"/>
      <c r="G317" s="45"/>
      <c r="H317" s="45"/>
      <c r="I317" s="45"/>
      <c r="J317" s="45"/>
      <c r="K317" s="45"/>
      <c r="L317" s="45"/>
    </row>
    <row r="318" customHeight="1" spans="1:12">
      <c r="A318" s="45"/>
      <c r="B318" s="60"/>
      <c r="D318" s="44"/>
      <c r="G318" s="45"/>
      <c r="H318" s="45"/>
      <c r="I318" s="45"/>
      <c r="J318" s="45"/>
      <c r="K318" s="45"/>
      <c r="L318" s="45"/>
    </row>
    <row r="319" customHeight="1" spans="1:12">
      <c r="A319" s="45"/>
      <c r="B319" s="60"/>
      <c r="D319" s="44"/>
      <c r="G319" s="45"/>
      <c r="H319" s="45"/>
      <c r="I319" s="45"/>
      <c r="J319" s="45"/>
      <c r="K319" s="45"/>
      <c r="L319" s="45"/>
    </row>
    <row r="320" customHeight="1" spans="1:12">
      <c r="A320" s="45"/>
      <c r="B320" s="60"/>
      <c r="D320" s="44"/>
      <c r="G320" s="45"/>
      <c r="H320" s="45"/>
      <c r="I320" s="45"/>
      <c r="J320" s="45"/>
      <c r="K320" s="45"/>
      <c r="L320" s="45"/>
    </row>
    <row r="321" customHeight="1" spans="1:12">
      <c r="A321" s="45"/>
      <c r="B321" s="60"/>
      <c r="D321" s="44"/>
      <c r="G321" s="45"/>
      <c r="H321" s="45"/>
      <c r="I321" s="45"/>
      <c r="J321" s="45"/>
      <c r="K321" s="45"/>
      <c r="L321" s="45"/>
    </row>
    <row r="322" customHeight="1" spans="1:12">
      <c r="A322" s="45"/>
      <c r="B322" s="60"/>
      <c r="D322" s="44"/>
      <c r="G322" s="45"/>
      <c r="H322" s="45"/>
      <c r="I322" s="45"/>
      <c r="J322" s="45"/>
      <c r="K322" s="45"/>
      <c r="L322" s="45"/>
    </row>
    <row r="323" customHeight="1" spans="1:12">
      <c r="A323" s="45"/>
      <c r="B323" s="60"/>
      <c r="D323" s="44"/>
      <c r="G323" s="45"/>
      <c r="H323" s="45"/>
      <c r="I323" s="45"/>
      <c r="J323" s="45"/>
      <c r="K323" s="45"/>
      <c r="L323" s="45"/>
    </row>
    <row r="324" customHeight="1" spans="1:12">
      <c r="A324" s="45"/>
      <c r="B324" s="60"/>
      <c r="D324" s="44"/>
      <c r="G324" s="45"/>
      <c r="H324" s="45"/>
      <c r="I324" s="45"/>
      <c r="J324" s="45"/>
      <c r="K324" s="45"/>
      <c r="L324" s="45"/>
    </row>
    <row r="325" customHeight="1" spans="1:12">
      <c r="A325" s="45"/>
      <c r="B325" s="60"/>
      <c r="D325" s="44"/>
      <c r="G325" s="45"/>
      <c r="H325" s="45"/>
      <c r="I325" s="45"/>
      <c r="J325" s="45"/>
      <c r="K325" s="45"/>
      <c r="L325" s="45"/>
    </row>
    <row r="326" customHeight="1" spans="1:12">
      <c r="A326" s="45"/>
      <c r="B326" s="60"/>
      <c r="D326" s="44"/>
      <c r="G326" s="45"/>
      <c r="H326" s="45"/>
      <c r="I326" s="45"/>
      <c r="J326" s="45"/>
      <c r="K326" s="45"/>
      <c r="L326" s="45"/>
    </row>
    <row r="327" customHeight="1" spans="1:12">
      <c r="A327" s="45"/>
      <c r="B327" s="60"/>
      <c r="D327" s="44"/>
      <c r="G327" s="45"/>
      <c r="H327" s="45"/>
      <c r="I327" s="45"/>
      <c r="J327" s="45"/>
      <c r="K327" s="45"/>
      <c r="L327" s="45"/>
    </row>
    <row r="328" customHeight="1" spans="1:12">
      <c r="A328" s="45"/>
      <c r="B328" s="60"/>
      <c r="D328" s="44"/>
      <c r="G328" s="45"/>
      <c r="H328" s="45"/>
      <c r="I328" s="45"/>
      <c r="J328" s="45"/>
      <c r="K328" s="45"/>
      <c r="L328" s="45"/>
    </row>
    <row r="329" customHeight="1" spans="1:12">
      <c r="A329" s="45"/>
      <c r="B329" s="60"/>
      <c r="D329" s="44"/>
      <c r="G329" s="45"/>
      <c r="H329" s="45"/>
      <c r="I329" s="45"/>
      <c r="J329" s="45"/>
      <c r="K329" s="45"/>
      <c r="L329" s="45"/>
    </row>
    <row r="330" customHeight="1" spans="1:12">
      <c r="A330" s="45"/>
      <c r="B330" s="60"/>
      <c r="D330" s="44"/>
      <c r="G330" s="45"/>
      <c r="H330" s="45"/>
      <c r="I330" s="45"/>
      <c r="J330" s="45"/>
      <c r="K330" s="45"/>
      <c r="L330" s="45"/>
    </row>
    <row r="331" customHeight="1" spans="1:12">
      <c r="A331" s="45"/>
      <c r="B331" s="60"/>
      <c r="D331" s="44"/>
      <c r="G331" s="45"/>
      <c r="H331" s="45"/>
      <c r="I331" s="45"/>
      <c r="J331" s="45"/>
      <c r="K331" s="45"/>
      <c r="L331" s="45"/>
    </row>
    <row r="332" customHeight="1" spans="1:12">
      <c r="A332" s="45"/>
      <c r="B332" s="60"/>
      <c r="D332" s="44"/>
      <c r="G332" s="45"/>
      <c r="H332" s="45"/>
      <c r="I332" s="45"/>
      <c r="J332" s="45"/>
      <c r="K332" s="45"/>
      <c r="L332" s="45"/>
    </row>
    <row r="333" customHeight="1" spans="1:12">
      <c r="A333" s="45"/>
      <c r="B333" s="60"/>
      <c r="D333" s="44"/>
      <c r="G333" s="45"/>
      <c r="H333" s="45"/>
      <c r="I333" s="45"/>
      <c r="J333" s="45"/>
      <c r="K333" s="45"/>
      <c r="L333" s="45"/>
    </row>
    <row r="334" customHeight="1" spans="1:12">
      <c r="A334" s="45"/>
      <c r="B334" s="60"/>
      <c r="D334" s="44"/>
      <c r="G334" s="45"/>
      <c r="H334" s="45"/>
      <c r="I334" s="45"/>
      <c r="J334" s="45"/>
      <c r="K334" s="45"/>
      <c r="L334" s="45"/>
    </row>
    <row r="335" customHeight="1" spans="1:12">
      <c r="A335" s="45"/>
      <c r="B335" s="60"/>
      <c r="D335" s="44"/>
      <c r="G335" s="45"/>
      <c r="H335" s="45"/>
      <c r="I335" s="45"/>
      <c r="J335" s="45"/>
      <c r="K335" s="45"/>
      <c r="L335" s="45"/>
    </row>
    <row r="336" customHeight="1" spans="1:12">
      <c r="A336" s="45"/>
      <c r="B336" s="60"/>
      <c r="D336" s="44"/>
      <c r="G336" s="45"/>
      <c r="H336" s="45"/>
      <c r="I336" s="45"/>
      <c r="J336" s="45"/>
      <c r="K336" s="45"/>
      <c r="L336" s="45"/>
    </row>
    <row r="337" customHeight="1" spans="1:12">
      <c r="A337" s="45"/>
      <c r="B337" s="60"/>
      <c r="D337" s="44"/>
      <c r="G337" s="45"/>
      <c r="H337" s="45"/>
      <c r="I337" s="45"/>
      <c r="J337" s="45"/>
      <c r="K337" s="45"/>
      <c r="L337" s="45"/>
    </row>
    <row r="338" customHeight="1" spans="1:12">
      <c r="A338" s="45"/>
      <c r="B338" s="60"/>
      <c r="D338" s="44"/>
      <c r="G338" s="45"/>
      <c r="H338" s="45"/>
      <c r="I338" s="45"/>
      <c r="J338" s="45"/>
      <c r="K338" s="45"/>
      <c r="L338" s="45"/>
    </row>
    <row r="339" customHeight="1" spans="1:12">
      <c r="A339" s="45"/>
      <c r="B339" s="60"/>
      <c r="D339" s="44"/>
      <c r="G339" s="45"/>
      <c r="H339" s="45"/>
      <c r="I339" s="45"/>
      <c r="J339" s="45"/>
      <c r="K339" s="45"/>
      <c r="L339" s="45"/>
    </row>
    <row r="340" customHeight="1" spans="1:12">
      <c r="A340" s="45"/>
      <c r="B340" s="60"/>
      <c r="D340" s="44"/>
      <c r="G340" s="45"/>
      <c r="H340" s="45"/>
      <c r="I340" s="45"/>
      <c r="J340" s="45"/>
      <c r="K340" s="45"/>
      <c r="L340" s="45"/>
    </row>
    <row r="341" customHeight="1" spans="1:12">
      <c r="A341" s="45"/>
      <c r="B341" s="60"/>
      <c r="D341" s="44"/>
      <c r="G341" s="45"/>
      <c r="H341" s="45"/>
      <c r="I341" s="45"/>
      <c r="J341" s="45"/>
      <c r="K341" s="45"/>
      <c r="L341" s="45"/>
    </row>
    <row r="342" customHeight="1" spans="1:12">
      <c r="A342" s="45"/>
      <c r="B342" s="60"/>
      <c r="D342" s="44"/>
      <c r="G342" s="45"/>
      <c r="H342" s="45"/>
      <c r="I342" s="45"/>
      <c r="J342" s="45"/>
      <c r="K342" s="45"/>
      <c r="L342" s="45"/>
    </row>
    <row r="343" customHeight="1" spans="1:12">
      <c r="A343" s="45"/>
      <c r="B343" s="60"/>
      <c r="D343" s="44"/>
      <c r="G343" s="45"/>
      <c r="H343" s="45"/>
      <c r="I343" s="45"/>
      <c r="J343" s="45"/>
      <c r="K343" s="45"/>
      <c r="L343" s="45"/>
    </row>
    <row r="344" customHeight="1" spans="1:12">
      <c r="A344" s="45"/>
      <c r="B344" s="60"/>
      <c r="D344" s="44"/>
      <c r="G344" s="45"/>
      <c r="H344" s="45"/>
      <c r="I344" s="45"/>
      <c r="J344" s="45"/>
      <c r="K344" s="45"/>
      <c r="L344" s="45"/>
    </row>
    <row r="345" customHeight="1" spans="1:12">
      <c r="A345" s="45"/>
      <c r="B345" s="60"/>
      <c r="D345" s="44"/>
      <c r="G345" s="45"/>
      <c r="H345" s="45"/>
      <c r="I345" s="45"/>
      <c r="J345" s="45"/>
      <c r="K345" s="45"/>
      <c r="L345" s="45"/>
    </row>
    <row r="346" customHeight="1" spans="1:12">
      <c r="A346" s="45"/>
      <c r="B346" s="60"/>
      <c r="D346" s="44"/>
      <c r="G346" s="45"/>
      <c r="H346" s="45"/>
      <c r="I346" s="45"/>
      <c r="J346" s="45"/>
      <c r="K346" s="45"/>
      <c r="L346" s="45"/>
    </row>
    <row r="347" customHeight="1" spans="1:12">
      <c r="A347" s="45"/>
      <c r="B347" s="60"/>
      <c r="D347" s="44"/>
      <c r="G347" s="45"/>
      <c r="H347" s="45"/>
      <c r="I347" s="45"/>
      <c r="J347" s="45"/>
      <c r="K347" s="45"/>
      <c r="L347" s="45"/>
    </row>
    <row r="348" customHeight="1" spans="1:12">
      <c r="A348" s="45"/>
      <c r="B348" s="60"/>
      <c r="D348" s="44"/>
      <c r="G348" s="45"/>
      <c r="H348" s="45"/>
      <c r="I348" s="45"/>
      <c r="J348" s="45"/>
      <c r="K348" s="45"/>
      <c r="L348" s="45"/>
    </row>
    <row r="349" customHeight="1" spans="1:12">
      <c r="A349" s="45"/>
      <c r="B349" s="60"/>
      <c r="D349" s="44"/>
      <c r="G349" s="45"/>
      <c r="H349" s="45"/>
      <c r="I349" s="45"/>
      <c r="J349" s="45"/>
      <c r="K349" s="45"/>
      <c r="L349" s="45"/>
    </row>
    <row r="350" customHeight="1" spans="1:12">
      <c r="A350" s="45"/>
      <c r="B350" s="60"/>
      <c r="D350" s="44"/>
      <c r="G350" s="45"/>
      <c r="H350" s="45"/>
      <c r="I350" s="45"/>
      <c r="J350" s="45"/>
      <c r="K350" s="45"/>
      <c r="L350" s="45"/>
    </row>
    <row r="351" customHeight="1" spans="1:12">
      <c r="A351" s="45"/>
      <c r="B351" s="60"/>
      <c r="D351" s="44"/>
      <c r="G351" s="45"/>
      <c r="H351" s="45"/>
      <c r="I351" s="45"/>
      <c r="J351" s="45"/>
      <c r="K351" s="45"/>
      <c r="L351" s="45"/>
    </row>
    <row r="352" customHeight="1" spans="1:12">
      <c r="A352" s="45"/>
      <c r="B352" s="60"/>
      <c r="D352" s="44"/>
      <c r="G352" s="45"/>
      <c r="H352" s="45"/>
      <c r="I352" s="45"/>
      <c r="J352" s="45"/>
      <c r="K352" s="45"/>
      <c r="L352" s="45"/>
    </row>
    <row r="353" customHeight="1" spans="1:12">
      <c r="A353" s="45"/>
      <c r="B353" s="60"/>
      <c r="D353" s="44"/>
      <c r="G353" s="45"/>
      <c r="H353" s="45"/>
      <c r="I353" s="45"/>
      <c r="J353" s="45"/>
      <c r="K353" s="45"/>
      <c r="L353" s="45"/>
    </row>
    <row r="354" customHeight="1" spans="1:12">
      <c r="A354" s="45"/>
      <c r="B354" s="60"/>
      <c r="D354" s="44"/>
      <c r="G354" s="45"/>
      <c r="H354" s="45"/>
      <c r="I354" s="45"/>
      <c r="J354" s="45"/>
      <c r="K354" s="45"/>
      <c r="L354" s="45"/>
    </row>
    <row r="355" customHeight="1" spans="1:12">
      <c r="A355" s="45"/>
      <c r="B355" s="60"/>
      <c r="D355" s="44"/>
      <c r="G355" s="45"/>
      <c r="H355" s="45"/>
      <c r="I355" s="45"/>
      <c r="J355" s="45"/>
      <c r="K355" s="45"/>
      <c r="L355" s="45"/>
    </row>
    <row r="356" customHeight="1" spans="1:12">
      <c r="A356" s="45"/>
      <c r="B356" s="60"/>
      <c r="D356" s="44"/>
      <c r="G356" s="45"/>
      <c r="H356" s="45"/>
      <c r="I356" s="45"/>
      <c r="J356" s="45"/>
      <c r="K356" s="45"/>
      <c r="L356" s="45"/>
    </row>
    <row r="357" customHeight="1" spans="1:12">
      <c r="A357" s="45"/>
      <c r="B357" s="60"/>
      <c r="D357" s="44"/>
      <c r="G357" s="45"/>
      <c r="H357" s="45"/>
      <c r="I357" s="45"/>
      <c r="J357" s="45"/>
      <c r="K357" s="45"/>
      <c r="L357" s="45"/>
    </row>
    <row r="358" customHeight="1" spans="1:12">
      <c r="A358" s="45"/>
      <c r="B358" s="60"/>
      <c r="D358" s="44"/>
      <c r="G358" s="45"/>
      <c r="H358" s="45"/>
      <c r="I358" s="45"/>
      <c r="J358" s="45"/>
      <c r="K358" s="45"/>
      <c r="L358" s="45"/>
    </row>
    <row r="359" customHeight="1" spans="1:12">
      <c r="A359" s="45"/>
      <c r="B359" s="60"/>
      <c r="D359" s="44"/>
      <c r="G359" s="45"/>
      <c r="H359" s="45"/>
      <c r="I359" s="45"/>
      <c r="J359" s="45"/>
      <c r="K359" s="45"/>
      <c r="L359" s="45"/>
    </row>
    <row r="360" customHeight="1" spans="1:12">
      <c r="A360" s="45"/>
      <c r="B360" s="60"/>
      <c r="D360" s="44"/>
      <c r="G360" s="45"/>
      <c r="H360" s="45"/>
      <c r="I360" s="45"/>
      <c r="J360" s="45"/>
      <c r="K360" s="45"/>
      <c r="L360" s="45"/>
    </row>
    <row r="361" customHeight="1" spans="1:12">
      <c r="A361" s="45"/>
      <c r="B361" s="60"/>
      <c r="D361" s="44"/>
      <c r="G361" s="45"/>
      <c r="H361" s="45"/>
      <c r="I361" s="45"/>
      <c r="J361" s="45"/>
      <c r="K361" s="45"/>
      <c r="L361" s="45"/>
    </row>
    <row r="362" customHeight="1" spans="1:12">
      <c r="A362" s="45"/>
      <c r="B362" s="60"/>
      <c r="D362" s="44"/>
      <c r="G362" s="45"/>
      <c r="H362" s="45"/>
      <c r="I362" s="45"/>
      <c r="J362" s="45"/>
      <c r="K362" s="45"/>
      <c r="L362" s="45"/>
    </row>
    <row r="363" customHeight="1" spans="1:12">
      <c r="A363" s="45"/>
      <c r="B363" s="60"/>
      <c r="D363" s="44"/>
      <c r="G363" s="45"/>
      <c r="H363" s="45"/>
      <c r="I363" s="45"/>
      <c r="J363" s="45"/>
      <c r="K363" s="45"/>
      <c r="L363" s="45"/>
    </row>
    <row r="364" customHeight="1" spans="1:12">
      <c r="A364" s="45"/>
      <c r="B364" s="60"/>
      <c r="D364" s="44"/>
      <c r="G364" s="45"/>
      <c r="H364" s="45"/>
      <c r="I364" s="45"/>
      <c r="J364" s="45"/>
      <c r="K364" s="45"/>
      <c r="L364" s="45"/>
    </row>
    <row r="365" customHeight="1" spans="1:12">
      <c r="A365" s="45"/>
      <c r="B365" s="60"/>
      <c r="D365" s="44"/>
      <c r="G365" s="45"/>
      <c r="H365" s="45"/>
      <c r="I365" s="45"/>
      <c r="J365" s="45"/>
      <c r="K365" s="45"/>
      <c r="L365" s="45"/>
    </row>
    <row r="366" customHeight="1" spans="1:12">
      <c r="A366" s="45"/>
      <c r="B366" s="60"/>
      <c r="D366" s="44"/>
      <c r="G366" s="45"/>
      <c r="H366" s="45"/>
      <c r="I366" s="45"/>
      <c r="J366" s="45"/>
      <c r="K366" s="45"/>
      <c r="L366" s="45"/>
    </row>
    <row r="367" customHeight="1" spans="1:12">
      <c r="A367" s="45"/>
      <c r="B367" s="60"/>
      <c r="D367" s="44"/>
      <c r="G367" s="45"/>
      <c r="H367" s="45"/>
      <c r="I367" s="45"/>
      <c r="J367" s="45"/>
      <c r="K367" s="45"/>
      <c r="L367" s="45"/>
    </row>
    <row r="368" customHeight="1" spans="1:12">
      <c r="A368" s="45"/>
      <c r="B368" s="60"/>
      <c r="D368" s="44"/>
      <c r="G368" s="45"/>
      <c r="H368" s="45"/>
      <c r="I368" s="45"/>
      <c r="J368" s="45"/>
      <c r="K368" s="45"/>
      <c r="L368" s="45"/>
    </row>
    <row r="369" customHeight="1" spans="1:12">
      <c r="A369" s="45"/>
      <c r="B369" s="60"/>
      <c r="D369" s="44"/>
      <c r="G369" s="45"/>
      <c r="H369" s="45"/>
      <c r="I369" s="45"/>
      <c r="J369" s="45"/>
      <c r="K369" s="45"/>
      <c r="L369" s="45"/>
    </row>
    <row r="370" customHeight="1" spans="1:12">
      <c r="A370" s="45"/>
      <c r="B370" s="60"/>
      <c r="D370" s="44"/>
      <c r="G370" s="45"/>
      <c r="H370" s="45"/>
      <c r="I370" s="45"/>
      <c r="J370" s="45"/>
      <c r="K370" s="45"/>
      <c r="L370" s="45"/>
    </row>
    <row r="371" customHeight="1" spans="1:12">
      <c r="A371" s="45"/>
      <c r="B371" s="60"/>
      <c r="D371" s="44"/>
      <c r="G371" s="45"/>
      <c r="H371" s="45"/>
      <c r="I371" s="45"/>
      <c r="J371" s="45"/>
      <c r="K371" s="45"/>
      <c r="L371" s="45"/>
    </row>
    <row r="372" customHeight="1" spans="1:12">
      <c r="A372" s="45"/>
      <c r="B372" s="60"/>
      <c r="D372" s="44"/>
      <c r="G372" s="45"/>
      <c r="H372" s="45"/>
      <c r="I372" s="45"/>
      <c r="J372" s="45"/>
      <c r="K372" s="45"/>
      <c r="L372" s="45"/>
    </row>
    <row r="373" customHeight="1" spans="1:12">
      <c r="A373" s="45"/>
      <c r="B373" s="60"/>
      <c r="D373" s="44"/>
      <c r="G373" s="45"/>
      <c r="H373" s="45"/>
      <c r="I373" s="45"/>
      <c r="J373" s="45"/>
      <c r="K373" s="45"/>
      <c r="L373" s="45"/>
    </row>
    <row r="374" customHeight="1" spans="1:12">
      <c r="A374" s="45"/>
      <c r="B374" s="60"/>
      <c r="D374" s="44"/>
      <c r="G374" s="45"/>
      <c r="H374" s="45"/>
      <c r="I374" s="45"/>
      <c r="J374" s="45"/>
      <c r="K374" s="45"/>
      <c r="L374" s="45"/>
    </row>
    <row r="375" customHeight="1" spans="1:12">
      <c r="A375" s="45"/>
      <c r="B375" s="60"/>
      <c r="D375" s="44"/>
      <c r="G375" s="45"/>
      <c r="H375" s="45"/>
      <c r="I375" s="45"/>
      <c r="J375" s="45"/>
      <c r="K375" s="45"/>
      <c r="L375" s="45"/>
    </row>
    <row r="376" customHeight="1" spans="1:12">
      <c r="A376" s="45"/>
      <c r="B376" s="60"/>
      <c r="D376" s="44"/>
      <c r="G376" s="45"/>
      <c r="H376" s="45"/>
      <c r="I376" s="45"/>
      <c r="J376" s="45"/>
      <c r="K376" s="45"/>
      <c r="L376" s="45"/>
    </row>
    <row r="377" customHeight="1" spans="1:12">
      <c r="A377" s="45"/>
      <c r="B377" s="60"/>
      <c r="D377" s="44"/>
      <c r="G377" s="45"/>
      <c r="H377" s="45"/>
      <c r="I377" s="45"/>
      <c r="J377" s="45"/>
      <c r="K377" s="45"/>
      <c r="L377" s="45"/>
    </row>
    <row r="378" customHeight="1" spans="1:12">
      <c r="A378" s="45"/>
      <c r="B378" s="60"/>
      <c r="D378" s="44"/>
      <c r="G378" s="45"/>
      <c r="H378" s="45"/>
      <c r="I378" s="45"/>
      <c r="J378" s="45"/>
      <c r="K378" s="45"/>
      <c r="L378" s="45"/>
    </row>
    <row r="379" customHeight="1" spans="1:12">
      <c r="A379" s="45"/>
      <c r="B379" s="60"/>
      <c r="D379" s="44"/>
      <c r="G379" s="45"/>
      <c r="H379" s="45"/>
      <c r="I379" s="45"/>
      <c r="J379" s="45"/>
      <c r="K379" s="45"/>
      <c r="L379" s="45"/>
    </row>
    <row r="380" customHeight="1" spans="1:12">
      <c r="A380" s="45"/>
      <c r="B380" s="60"/>
      <c r="D380" s="44"/>
      <c r="G380" s="45"/>
      <c r="H380" s="45"/>
      <c r="I380" s="45"/>
      <c r="J380" s="45"/>
      <c r="K380" s="45"/>
      <c r="L380" s="45"/>
    </row>
    <row r="381" customHeight="1" spans="1:12">
      <c r="A381" s="45"/>
      <c r="B381" s="60"/>
      <c r="D381" s="44"/>
      <c r="G381" s="45"/>
      <c r="H381" s="45"/>
      <c r="I381" s="45"/>
      <c r="J381" s="45"/>
      <c r="K381" s="45"/>
      <c r="L381" s="45"/>
    </row>
    <row r="382" customHeight="1" spans="1:12">
      <c r="A382" s="45"/>
      <c r="B382" s="60"/>
      <c r="D382" s="44"/>
      <c r="G382" s="45"/>
      <c r="H382" s="45"/>
      <c r="I382" s="45"/>
      <c r="J382" s="45"/>
      <c r="K382" s="45"/>
      <c r="L382" s="45"/>
    </row>
    <row r="383" customHeight="1" spans="1:12">
      <c r="A383" s="45"/>
      <c r="B383" s="60"/>
      <c r="D383" s="44"/>
      <c r="G383" s="45"/>
      <c r="H383" s="45"/>
      <c r="I383" s="45"/>
      <c r="J383" s="45"/>
      <c r="K383" s="45"/>
      <c r="L383" s="45"/>
    </row>
    <row r="384" customHeight="1" spans="1:12">
      <c r="A384" s="45"/>
      <c r="B384" s="60"/>
      <c r="D384" s="44"/>
      <c r="G384" s="45"/>
      <c r="H384" s="45"/>
      <c r="I384" s="45"/>
      <c r="J384" s="45"/>
      <c r="K384" s="45"/>
      <c r="L384" s="45"/>
    </row>
    <row r="385" customHeight="1" spans="1:12">
      <c r="A385" s="45"/>
      <c r="B385" s="60"/>
      <c r="D385" s="44"/>
      <c r="G385" s="45"/>
      <c r="H385" s="45"/>
      <c r="I385" s="45"/>
      <c r="J385" s="45"/>
      <c r="K385" s="45"/>
      <c r="L385" s="45"/>
    </row>
    <row r="386" customHeight="1" spans="1:12">
      <c r="A386" s="45"/>
      <c r="B386" s="60"/>
      <c r="D386" s="44"/>
      <c r="G386" s="45"/>
      <c r="H386" s="45"/>
      <c r="I386" s="45"/>
      <c r="J386" s="45"/>
      <c r="K386" s="45"/>
      <c r="L386" s="45"/>
    </row>
    <row r="387" customHeight="1" spans="1:12">
      <c r="A387" s="45"/>
      <c r="B387" s="60"/>
      <c r="D387" s="44"/>
      <c r="G387" s="45"/>
      <c r="H387" s="45"/>
      <c r="I387" s="45"/>
      <c r="J387" s="45"/>
      <c r="K387" s="45"/>
      <c r="L387" s="45"/>
    </row>
    <row r="388" customHeight="1" spans="1:12">
      <c r="A388" s="45"/>
      <c r="B388" s="60"/>
      <c r="D388" s="44"/>
      <c r="G388" s="45"/>
      <c r="H388" s="45"/>
      <c r="I388" s="45"/>
      <c r="J388" s="45"/>
      <c r="K388" s="45"/>
      <c r="L388" s="45"/>
    </row>
    <row r="389" customHeight="1" spans="1:12">
      <c r="A389" s="45"/>
      <c r="B389" s="60"/>
      <c r="D389" s="44"/>
      <c r="G389" s="45"/>
      <c r="H389" s="45"/>
      <c r="I389" s="45"/>
      <c r="J389" s="45"/>
      <c r="K389" s="45"/>
      <c r="L389" s="45"/>
    </row>
    <row r="390" customHeight="1" spans="1:12">
      <c r="A390" s="45"/>
      <c r="B390" s="60"/>
      <c r="D390" s="44"/>
      <c r="G390" s="45"/>
      <c r="H390" s="45"/>
      <c r="I390" s="45"/>
      <c r="J390" s="45"/>
      <c r="K390" s="45"/>
      <c r="L390" s="45"/>
    </row>
    <row r="391" customHeight="1" spans="1:12">
      <c r="A391" s="45"/>
      <c r="B391" s="60"/>
      <c r="D391" s="44"/>
      <c r="G391" s="45"/>
      <c r="H391" s="45"/>
      <c r="I391" s="45"/>
      <c r="J391" s="45"/>
      <c r="K391" s="45"/>
      <c r="L391" s="45"/>
    </row>
    <row r="392" customHeight="1" spans="1:12">
      <c r="A392" s="45"/>
      <c r="B392" s="60"/>
      <c r="D392" s="44"/>
      <c r="G392" s="45"/>
      <c r="H392" s="45"/>
      <c r="I392" s="45"/>
      <c r="J392" s="45"/>
      <c r="K392" s="45"/>
      <c r="L392" s="45"/>
    </row>
    <row r="393" customHeight="1" spans="1:12">
      <c r="A393" s="45"/>
      <c r="B393" s="60"/>
      <c r="D393" s="44"/>
      <c r="G393" s="45"/>
      <c r="H393" s="45"/>
      <c r="I393" s="45"/>
      <c r="J393" s="45"/>
      <c r="K393" s="45"/>
      <c r="L393" s="45"/>
    </row>
    <row r="394" customHeight="1" spans="1:12">
      <c r="A394" s="45"/>
      <c r="B394" s="60"/>
      <c r="D394" s="44"/>
      <c r="G394" s="45"/>
      <c r="H394" s="45"/>
      <c r="I394" s="45"/>
      <c r="J394" s="45"/>
      <c r="K394" s="45"/>
      <c r="L394" s="45"/>
    </row>
    <row r="395" customHeight="1" spans="1:12">
      <c r="A395" s="45"/>
      <c r="B395" s="60"/>
      <c r="D395" s="44"/>
      <c r="G395" s="45"/>
      <c r="H395" s="45"/>
      <c r="I395" s="45"/>
      <c r="J395" s="45"/>
      <c r="K395" s="45"/>
      <c r="L395" s="45"/>
    </row>
    <row r="396" customHeight="1" spans="1:12">
      <c r="A396" s="45"/>
      <c r="B396" s="60"/>
      <c r="D396" s="44"/>
      <c r="G396" s="45"/>
      <c r="H396" s="45"/>
      <c r="I396" s="45"/>
      <c r="J396" s="45"/>
      <c r="K396" s="45"/>
      <c r="L396" s="45"/>
    </row>
    <row r="397" customHeight="1" spans="1:12">
      <c r="A397" s="45"/>
      <c r="B397" s="60"/>
      <c r="D397" s="44"/>
      <c r="G397" s="45"/>
      <c r="H397" s="45"/>
      <c r="I397" s="45"/>
      <c r="J397" s="45"/>
      <c r="K397" s="45"/>
      <c r="L397" s="45"/>
    </row>
    <row r="398" customHeight="1" spans="1:12">
      <c r="A398" s="45"/>
      <c r="B398" s="60"/>
      <c r="D398" s="44"/>
      <c r="G398" s="45"/>
      <c r="H398" s="45"/>
      <c r="I398" s="45"/>
      <c r="J398" s="45"/>
      <c r="K398" s="45"/>
      <c r="L398" s="45"/>
    </row>
    <row r="399" customHeight="1" spans="1:12">
      <c r="A399" s="45"/>
      <c r="B399" s="60"/>
      <c r="D399" s="44"/>
      <c r="G399" s="45"/>
      <c r="H399" s="45"/>
      <c r="I399" s="45"/>
      <c r="J399" s="45"/>
      <c r="K399" s="45"/>
      <c r="L399" s="45"/>
    </row>
    <row r="400" customHeight="1" spans="1:12">
      <c r="A400" s="45"/>
      <c r="B400" s="60"/>
      <c r="D400" s="44"/>
      <c r="G400" s="45"/>
      <c r="H400" s="45"/>
      <c r="I400" s="45"/>
      <c r="J400" s="45"/>
      <c r="K400" s="45"/>
      <c r="L400" s="45"/>
    </row>
    <row r="401" customHeight="1" spans="1:12">
      <c r="A401" s="45"/>
      <c r="B401" s="60"/>
      <c r="D401" s="44"/>
      <c r="G401" s="45"/>
      <c r="H401" s="45"/>
      <c r="I401" s="45"/>
      <c r="J401" s="45"/>
      <c r="K401" s="45"/>
      <c r="L401" s="45"/>
    </row>
    <row r="402" customHeight="1" spans="1:12">
      <c r="A402" s="45"/>
      <c r="B402" s="60"/>
      <c r="D402" s="44"/>
      <c r="G402" s="45"/>
      <c r="H402" s="45"/>
      <c r="I402" s="45"/>
      <c r="J402" s="45"/>
      <c r="K402" s="45"/>
      <c r="L402" s="45"/>
    </row>
    <row r="403" customHeight="1" spans="1:12">
      <c r="A403" s="45"/>
      <c r="B403" s="60"/>
      <c r="D403" s="44"/>
      <c r="G403" s="45"/>
      <c r="H403" s="45"/>
      <c r="I403" s="45"/>
      <c r="J403" s="45"/>
      <c r="K403" s="45"/>
      <c r="L403" s="45"/>
    </row>
    <row r="404" customHeight="1" spans="1:12">
      <c r="A404" s="45"/>
      <c r="B404" s="60"/>
      <c r="D404" s="44"/>
      <c r="G404" s="45"/>
      <c r="H404" s="45"/>
      <c r="I404" s="45"/>
      <c r="J404" s="45"/>
      <c r="K404" s="45"/>
      <c r="L404" s="45"/>
    </row>
    <row r="405" customHeight="1" spans="1:12">
      <c r="A405" s="45"/>
      <c r="B405" s="60"/>
      <c r="D405" s="44"/>
      <c r="G405" s="45"/>
      <c r="H405" s="45"/>
      <c r="I405" s="45"/>
      <c r="J405" s="45"/>
      <c r="K405" s="45"/>
      <c r="L405" s="45"/>
    </row>
    <row r="406" customHeight="1" spans="1:12">
      <c r="A406" s="45"/>
      <c r="B406" s="60"/>
      <c r="D406" s="44"/>
      <c r="G406" s="45"/>
      <c r="H406" s="45"/>
      <c r="I406" s="45"/>
      <c r="J406" s="45"/>
      <c r="K406" s="45"/>
      <c r="L406" s="45"/>
    </row>
    <row r="407" customHeight="1" spans="1:12">
      <c r="A407" s="45"/>
      <c r="B407" s="60"/>
      <c r="D407" s="44"/>
      <c r="G407" s="45"/>
      <c r="H407" s="45"/>
      <c r="I407" s="45"/>
      <c r="J407" s="45"/>
      <c r="K407" s="45"/>
      <c r="L407" s="45"/>
    </row>
    <row r="408" customHeight="1" spans="1:12">
      <c r="A408" s="45"/>
      <c r="B408" s="60"/>
      <c r="D408" s="44"/>
      <c r="G408" s="45"/>
      <c r="H408" s="45"/>
      <c r="I408" s="45"/>
      <c r="J408" s="45"/>
      <c r="K408" s="45"/>
      <c r="L408" s="45"/>
    </row>
    <row r="409" customHeight="1" spans="1:12">
      <c r="A409" s="45"/>
      <c r="B409" s="60"/>
      <c r="D409" s="44"/>
      <c r="G409" s="45"/>
      <c r="H409" s="45"/>
      <c r="I409" s="45"/>
      <c r="J409" s="45"/>
      <c r="K409" s="45"/>
      <c r="L409" s="45"/>
    </row>
    <row r="410" customHeight="1" spans="1:12">
      <c r="A410" s="45"/>
      <c r="B410" s="60"/>
      <c r="D410" s="44"/>
      <c r="G410" s="45"/>
      <c r="H410" s="45"/>
      <c r="I410" s="45"/>
      <c r="J410" s="45"/>
      <c r="K410" s="45"/>
      <c r="L410" s="45"/>
    </row>
    <row r="411" customHeight="1" spans="1:12">
      <c r="A411" s="45"/>
      <c r="B411" s="60"/>
      <c r="D411" s="44"/>
      <c r="G411" s="45"/>
      <c r="H411" s="45"/>
      <c r="I411" s="45"/>
      <c r="J411" s="45"/>
      <c r="K411" s="45"/>
      <c r="L411" s="45"/>
    </row>
    <row r="412" customHeight="1" spans="1:12">
      <c r="A412" s="45"/>
      <c r="B412" s="60"/>
      <c r="D412" s="44"/>
      <c r="G412" s="45"/>
      <c r="H412" s="45"/>
      <c r="I412" s="45"/>
      <c r="J412" s="45"/>
      <c r="K412" s="45"/>
      <c r="L412" s="45"/>
    </row>
    <row r="413" customHeight="1" spans="1:12">
      <c r="A413" s="45"/>
      <c r="B413" s="60"/>
      <c r="D413" s="44"/>
      <c r="G413" s="45"/>
      <c r="H413" s="45"/>
      <c r="I413" s="45"/>
      <c r="J413" s="45"/>
      <c r="K413" s="45"/>
      <c r="L413" s="45"/>
    </row>
    <row r="414" customHeight="1" spans="1:12">
      <c r="A414" s="45"/>
      <c r="B414" s="60"/>
      <c r="D414" s="44"/>
      <c r="G414" s="45"/>
      <c r="H414" s="45"/>
      <c r="I414" s="45"/>
      <c r="J414" s="45"/>
      <c r="K414" s="45"/>
      <c r="L414" s="45"/>
    </row>
    <row r="415" customHeight="1" spans="1:12">
      <c r="A415" s="45"/>
      <c r="B415" s="60"/>
      <c r="D415" s="44"/>
      <c r="G415" s="45"/>
      <c r="H415" s="45"/>
      <c r="I415" s="45"/>
      <c r="J415" s="45"/>
      <c r="K415" s="45"/>
      <c r="L415" s="45"/>
    </row>
    <row r="416" customHeight="1" spans="1:12">
      <c r="A416" s="45"/>
      <c r="B416" s="60"/>
      <c r="D416" s="44"/>
      <c r="G416" s="45"/>
      <c r="H416" s="45"/>
      <c r="I416" s="45"/>
      <c r="J416" s="45"/>
      <c r="K416" s="45"/>
      <c r="L416" s="45"/>
    </row>
    <row r="417" customHeight="1" spans="1:12">
      <c r="A417" s="45"/>
      <c r="B417" s="60"/>
      <c r="D417" s="44"/>
      <c r="G417" s="45"/>
      <c r="H417" s="45"/>
      <c r="I417" s="45"/>
      <c r="J417" s="45"/>
      <c r="K417" s="45"/>
      <c r="L417" s="45"/>
    </row>
    <row r="418" customHeight="1" spans="1:12">
      <c r="A418" s="45"/>
      <c r="B418" s="60"/>
      <c r="D418" s="44"/>
      <c r="G418" s="45"/>
      <c r="H418" s="45"/>
      <c r="I418" s="45"/>
      <c r="J418" s="45"/>
      <c r="K418" s="45"/>
      <c r="L418" s="45"/>
    </row>
    <row r="419" customHeight="1" spans="1:12">
      <c r="A419" s="45"/>
      <c r="B419" s="60"/>
      <c r="D419" s="44"/>
      <c r="G419" s="45"/>
      <c r="H419" s="45"/>
      <c r="I419" s="45"/>
      <c r="J419" s="45"/>
      <c r="K419" s="45"/>
      <c r="L419" s="45"/>
    </row>
    <row r="420" customHeight="1" spans="1:12">
      <c r="A420" s="45"/>
      <c r="B420" s="60"/>
      <c r="D420" s="44"/>
      <c r="G420" s="45"/>
      <c r="H420" s="45"/>
      <c r="I420" s="45"/>
      <c r="J420" s="45"/>
      <c r="K420" s="45"/>
      <c r="L420" s="45"/>
    </row>
    <row r="421" customHeight="1" spans="1:12">
      <c r="A421" s="45"/>
      <c r="B421" s="60"/>
      <c r="D421" s="44"/>
      <c r="G421" s="45"/>
      <c r="H421" s="45"/>
      <c r="I421" s="45"/>
      <c r="J421" s="45"/>
      <c r="K421" s="45"/>
      <c r="L421" s="45"/>
    </row>
    <row r="422" customHeight="1" spans="1:12">
      <c r="A422" s="45"/>
      <c r="B422" s="60"/>
      <c r="D422" s="44"/>
      <c r="G422" s="45"/>
      <c r="H422" s="45"/>
      <c r="I422" s="45"/>
      <c r="J422" s="45"/>
      <c r="K422" s="45"/>
      <c r="L422" s="45"/>
    </row>
    <row r="423" customHeight="1" spans="1:12">
      <c r="A423" s="45"/>
      <c r="B423" s="60"/>
      <c r="D423" s="44"/>
      <c r="G423" s="45"/>
      <c r="H423" s="45"/>
      <c r="I423" s="45"/>
      <c r="J423" s="45"/>
      <c r="K423" s="45"/>
      <c r="L423" s="45"/>
    </row>
    <row r="424" customHeight="1" spans="1:12">
      <c r="A424" s="45"/>
      <c r="B424" s="60"/>
      <c r="D424" s="44"/>
      <c r="G424" s="45"/>
      <c r="H424" s="45"/>
      <c r="I424" s="45"/>
      <c r="J424" s="45"/>
      <c r="K424" s="45"/>
      <c r="L424" s="45"/>
    </row>
    <row r="425" customHeight="1" spans="1:12">
      <c r="A425" s="45"/>
      <c r="B425" s="60"/>
      <c r="D425" s="44"/>
      <c r="G425" s="45"/>
      <c r="H425" s="45"/>
      <c r="I425" s="45"/>
      <c r="J425" s="45"/>
      <c r="K425" s="45"/>
      <c r="L425" s="45"/>
    </row>
    <row r="426" customHeight="1" spans="1:12">
      <c r="A426" s="45"/>
      <c r="B426" s="60"/>
      <c r="D426" s="44"/>
      <c r="G426" s="45"/>
      <c r="H426" s="45"/>
      <c r="I426" s="45"/>
      <c r="J426" s="45"/>
      <c r="K426" s="45"/>
      <c r="L426" s="45"/>
    </row>
    <row r="427" customHeight="1" spans="1:12">
      <c r="A427" s="45"/>
      <c r="B427" s="60"/>
      <c r="D427" s="44"/>
      <c r="G427" s="45"/>
      <c r="H427" s="45"/>
      <c r="I427" s="45"/>
      <c r="J427" s="45"/>
      <c r="K427" s="45"/>
      <c r="L427" s="45"/>
    </row>
    <row r="428" customHeight="1" spans="1:12">
      <c r="A428" s="45"/>
      <c r="B428" s="60"/>
      <c r="D428" s="44"/>
      <c r="G428" s="45"/>
      <c r="H428" s="45"/>
      <c r="I428" s="45"/>
      <c r="J428" s="45"/>
      <c r="K428" s="45"/>
      <c r="L428" s="45"/>
    </row>
    <row r="429" customHeight="1" spans="1:12">
      <c r="A429" s="45"/>
      <c r="B429" s="60"/>
      <c r="D429" s="44"/>
      <c r="G429" s="45"/>
      <c r="H429" s="45"/>
      <c r="I429" s="45"/>
      <c r="J429" s="45"/>
      <c r="K429" s="45"/>
      <c r="L429" s="45"/>
    </row>
    <row r="430" customHeight="1" spans="1:12">
      <c r="A430" s="45"/>
      <c r="B430" s="60"/>
      <c r="D430" s="44"/>
      <c r="G430" s="45"/>
      <c r="H430" s="45"/>
      <c r="I430" s="45"/>
      <c r="J430" s="45"/>
      <c r="K430" s="45"/>
      <c r="L430" s="45"/>
    </row>
    <row r="431" customHeight="1" spans="1:12">
      <c r="A431" s="45"/>
      <c r="B431" s="60"/>
      <c r="D431" s="44"/>
      <c r="G431" s="45"/>
      <c r="H431" s="45"/>
      <c r="I431" s="45"/>
      <c r="J431" s="45"/>
      <c r="K431" s="45"/>
      <c r="L431" s="45"/>
    </row>
    <row r="432" customHeight="1" spans="1:12">
      <c r="A432" s="45"/>
      <c r="B432" s="60"/>
      <c r="D432" s="44"/>
      <c r="G432" s="45"/>
      <c r="H432" s="45"/>
      <c r="I432" s="45"/>
      <c r="J432" s="45"/>
      <c r="K432" s="45"/>
      <c r="L432" s="45"/>
    </row>
    <row r="433" customHeight="1" spans="1:12">
      <c r="A433" s="45"/>
      <c r="B433" s="60"/>
      <c r="D433" s="44"/>
      <c r="G433" s="45"/>
      <c r="H433" s="45"/>
      <c r="I433" s="45"/>
      <c r="J433" s="45"/>
      <c r="K433" s="45"/>
      <c r="L433" s="45"/>
    </row>
    <row r="434" customHeight="1" spans="1:12">
      <c r="A434" s="45"/>
      <c r="B434" s="60"/>
      <c r="D434" s="44"/>
      <c r="G434" s="45"/>
      <c r="H434" s="45"/>
      <c r="I434" s="45"/>
      <c r="J434" s="45"/>
      <c r="K434" s="45"/>
      <c r="L434" s="45"/>
    </row>
    <row r="435" customHeight="1" spans="1:12">
      <c r="A435" s="45"/>
      <c r="B435" s="60"/>
      <c r="D435" s="44"/>
      <c r="G435" s="45"/>
      <c r="H435" s="45"/>
      <c r="I435" s="45"/>
      <c r="J435" s="45"/>
      <c r="K435" s="45"/>
      <c r="L435" s="45"/>
    </row>
    <row r="436" customHeight="1" spans="1:12">
      <c r="A436" s="45"/>
      <c r="B436" s="60"/>
      <c r="D436" s="44"/>
      <c r="G436" s="45"/>
      <c r="H436" s="45"/>
      <c r="I436" s="45"/>
      <c r="J436" s="45"/>
      <c r="K436" s="45"/>
      <c r="L436" s="45"/>
    </row>
    <row r="437" customHeight="1" spans="1:12">
      <c r="A437" s="45"/>
      <c r="B437" s="60"/>
      <c r="D437" s="44"/>
      <c r="G437" s="45"/>
      <c r="H437" s="45"/>
      <c r="I437" s="45"/>
      <c r="J437" s="45"/>
      <c r="K437" s="45"/>
      <c r="L437" s="45"/>
    </row>
    <row r="438" customHeight="1" spans="1:12">
      <c r="A438" s="45"/>
      <c r="B438" s="60"/>
      <c r="D438" s="44"/>
      <c r="G438" s="45"/>
      <c r="H438" s="45"/>
      <c r="I438" s="45"/>
      <c r="J438" s="45"/>
      <c r="K438" s="45"/>
      <c r="L438" s="45"/>
    </row>
    <row r="439" customHeight="1" spans="1:12">
      <c r="A439" s="45"/>
      <c r="B439" s="60"/>
      <c r="D439" s="44"/>
      <c r="G439" s="45"/>
      <c r="H439" s="45"/>
      <c r="I439" s="45"/>
      <c r="J439" s="45"/>
      <c r="K439" s="45"/>
      <c r="L439" s="45"/>
    </row>
    <row r="440" customHeight="1" spans="1:12">
      <c r="A440" s="45"/>
      <c r="B440" s="60"/>
      <c r="D440" s="44"/>
      <c r="G440" s="45"/>
      <c r="H440" s="45"/>
      <c r="I440" s="45"/>
      <c r="J440" s="45"/>
      <c r="K440" s="45"/>
      <c r="L440" s="45"/>
    </row>
    <row r="441" customHeight="1" spans="1:12">
      <c r="A441" s="45"/>
      <c r="B441" s="60"/>
      <c r="D441" s="44"/>
      <c r="G441" s="45"/>
      <c r="H441" s="45"/>
      <c r="I441" s="45"/>
      <c r="J441" s="45"/>
      <c r="K441" s="45"/>
      <c r="L441" s="45"/>
    </row>
    <row r="442" customHeight="1" spans="1:12">
      <c r="A442" s="45"/>
      <c r="B442" s="60"/>
      <c r="D442" s="44"/>
      <c r="G442" s="45"/>
      <c r="H442" s="45"/>
      <c r="I442" s="45"/>
      <c r="J442" s="45"/>
      <c r="K442" s="45"/>
      <c r="L442" s="45"/>
    </row>
    <row r="443" customHeight="1" spans="1:12">
      <c r="A443" s="45"/>
      <c r="B443" s="60"/>
      <c r="D443" s="44"/>
      <c r="G443" s="45"/>
      <c r="H443" s="45"/>
      <c r="I443" s="45"/>
      <c r="J443" s="45"/>
      <c r="K443" s="45"/>
      <c r="L443" s="45"/>
    </row>
    <row r="444" customHeight="1" spans="1:12">
      <c r="A444" s="45"/>
      <c r="B444" s="60"/>
      <c r="D444" s="44"/>
      <c r="G444" s="45"/>
      <c r="H444" s="45"/>
      <c r="I444" s="45"/>
      <c r="J444" s="45"/>
      <c r="K444" s="45"/>
      <c r="L444" s="45"/>
    </row>
    <row r="445" customHeight="1" spans="1:12">
      <c r="A445" s="45"/>
      <c r="B445" s="60"/>
      <c r="D445" s="44"/>
      <c r="G445" s="45"/>
      <c r="H445" s="45"/>
      <c r="I445" s="45"/>
      <c r="J445" s="45"/>
      <c r="K445" s="45"/>
      <c r="L445" s="45"/>
    </row>
    <row r="446" customHeight="1" spans="1:12">
      <c r="A446" s="45"/>
      <c r="B446" s="60"/>
      <c r="D446" s="44"/>
      <c r="G446" s="45"/>
      <c r="H446" s="45"/>
      <c r="I446" s="45"/>
      <c r="J446" s="45"/>
      <c r="K446" s="45"/>
      <c r="L446" s="45"/>
    </row>
    <row r="447" customHeight="1" spans="1:12">
      <c r="A447" s="45"/>
      <c r="B447" s="60"/>
      <c r="D447" s="44"/>
      <c r="G447" s="45"/>
      <c r="H447" s="45"/>
      <c r="I447" s="45"/>
      <c r="J447" s="45"/>
      <c r="K447" s="45"/>
      <c r="L447" s="45"/>
    </row>
    <row r="448" customHeight="1" spans="1:12">
      <c r="A448" s="45"/>
      <c r="B448" s="60"/>
      <c r="D448" s="44"/>
      <c r="G448" s="45"/>
      <c r="H448" s="45"/>
      <c r="I448" s="45"/>
      <c r="J448" s="45"/>
      <c r="K448" s="45"/>
      <c r="L448" s="45"/>
    </row>
    <row r="449" customHeight="1" spans="1:12">
      <c r="A449" s="45"/>
      <c r="B449" s="60"/>
      <c r="D449" s="44"/>
      <c r="G449" s="45"/>
      <c r="H449" s="45"/>
      <c r="I449" s="45"/>
      <c r="J449" s="45"/>
      <c r="K449" s="45"/>
      <c r="L449" s="45"/>
    </row>
    <row r="450" customHeight="1" spans="1:12">
      <c r="A450" s="45"/>
      <c r="B450" s="60"/>
      <c r="D450" s="44"/>
      <c r="G450" s="45"/>
      <c r="H450" s="45"/>
      <c r="I450" s="45"/>
      <c r="J450" s="45"/>
      <c r="K450" s="45"/>
      <c r="L450" s="45"/>
    </row>
    <row r="451" customHeight="1" spans="1:12">
      <c r="A451" s="45"/>
      <c r="B451" s="60"/>
      <c r="D451" s="44"/>
      <c r="G451" s="45"/>
      <c r="H451" s="45"/>
      <c r="I451" s="45"/>
      <c r="J451" s="45"/>
      <c r="K451" s="45"/>
      <c r="L451" s="45"/>
    </row>
    <row r="452" customHeight="1" spans="1:12">
      <c r="A452" s="45"/>
      <c r="B452" s="60"/>
      <c r="D452" s="44"/>
      <c r="G452" s="45"/>
      <c r="H452" s="45"/>
      <c r="I452" s="45"/>
      <c r="J452" s="45"/>
      <c r="K452" s="45"/>
      <c r="L452" s="45"/>
    </row>
    <row r="453" customHeight="1" spans="1:12">
      <c r="A453" s="45"/>
      <c r="B453" s="60"/>
      <c r="D453" s="44"/>
      <c r="G453" s="45"/>
      <c r="H453" s="45"/>
      <c r="I453" s="45"/>
      <c r="J453" s="45"/>
      <c r="K453" s="45"/>
      <c r="L453" s="45"/>
    </row>
    <row r="454" customHeight="1" spans="1:12">
      <c r="A454" s="45"/>
      <c r="B454" s="60"/>
      <c r="D454" s="44"/>
      <c r="G454" s="45"/>
      <c r="H454" s="45"/>
      <c r="I454" s="45"/>
      <c r="J454" s="45"/>
      <c r="K454" s="45"/>
      <c r="L454" s="45"/>
    </row>
    <row r="455" customHeight="1" spans="1:12">
      <c r="A455" s="45"/>
      <c r="B455" s="60"/>
      <c r="D455" s="44"/>
      <c r="G455" s="45"/>
      <c r="H455" s="45"/>
      <c r="I455" s="45"/>
      <c r="J455" s="45"/>
      <c r="K455" s="45"/>
      <c r="L455" s="45"/>
    </row>
    <row r="456" customHeight="1" spans="1:12">
      <c r="A456" s="45"/>
      <c r="B456" s="60"/>
      <c r="D456" s="44"/>
      <c r="G456" s="45"/>
      <c r="H456" s="45"/>
      <c r="I456" s="45"/>
      <c r="J456" s="45"/>
      <c r="K456" s="45"/>
      <c r="L456" s="45"/>
    </row>
    <row r="457" customHeight="1" spans="1:12">
      <c r="A457" s="45"/>
      <c r="B457" s="60"/>
      <c r="D457" s="44"/>
      <c r="G457" s="45"/>
      <c r="H457" s="45"/>
      <c r="I457" s="45"/>
      <c r="J457" s="45"/>
      <c r="K457" s="45"/>
      <c r="L457" s="45"/>
    </row>
    <row r="458" customHeight="1" spans="1:12">
      <c r="A458" s="45"/>
      <c r="B458" s="60"/>
      <c r="D458" s="44"/>
      <c r="G458" s="45"/>
      <c r="H458" s="45"/>
      <c r="I458" s="45"/>
      <c r="J458" s="45"/>
      <c r="K458" s="45"/>
      <c r="L458" s="45"/>
    </row>
    <row r="459" customHeight="1" spans="1:12">
      <c r="A459" s="45"/>
      <c r="B459" s="60"/>
      <c r="D459" s="44"/>
      <c r="G459" s="45"/>
      <c r="H459" s="45"/>
      <c r="I459" s="45"/>
      <c r="J459" s="45"/>
      <c r="K459" s="45"/>
      <c r="L459" s="45"/>
    </row>
    <row r="460" customHeight="1" spans="1:12">
      <c r="A460" s="45"/>
      <c r="B460" s="60"/>
      <c r="D460" s="44"/>
      <c r="G460" s="45"/>
      <c r="H460" s="45"/>
      <c r="I460" s="45"/>
      <c r="J460" s="45"/>
      <c r="K460" s="45"/>
      <c r="L460" s="45"/>
    </row>
    <row r="461" customHeight="1" spans="1:12">
      <c r="A461" s="45"/>
      <c r="B461" s="60"/>
      <c r="D461" s="44"/>
      <c r="G461" s="45"/>
      <c r="H461" s="45"/>
      <c r="I461" s="45"/>
      <c r="J461" s="45"/>
      <c r="K461" s="45"/>
      <c r="L461" s="45"/>
    </row>
    <row r="462" customHeight="1" spans="1:12">
      <c r="A462" s="45"/>
      <c r="B462" s="60"/>
      <c r="D462" s="44"/>
      <c r="G462" s="45"/>
      <c r="H462" s="45"/>
      <c r="I462" s="45"/>
      <c r="J462" s="45"/>
      <c r="K462" s="45"/>
      <c r="L462" s="45"/>
    </row>
    <row r="463" customHeight="1" spans="1:12">
      <c r="A463" s="45"/>
      <c r="B463" s="60"/>
      <c r="D463" s="44"/>
      <c r="G463" s="45"/>
      <c r="H463" s="45"/>
      <c r="I463" s="45"/>
      <c r="J463" s="45"/>
      <c r="K463" s="45"/>
      <c r="L463" s="45"/>
    </row>
    <row r="464" customHeight="1" spans="1:12">
      <c r="A464" s="45"/>
      <c r="B464" s="60"/>
      <c r="D464" s="44"/>
      <c r="G464" s="45"/>
      <c r="H464" s="45"/>
      <c r="I464" s="45"/>
      <c r="J464" s="45"/>
      <c r="K464" s="45"/>
      <c r="L464" s="45"/>
    </row>
    <row r="465" customHeight="1" spans="1:12">
      <c r="A465" s="45"/>
      <c r="B465" s="60"/>
      <c r="D465" s="44"/>
      <c r="G465" s="45"/>
      <c r="H465" s="45"/>
      <c r="I465" s="45"/>
      <c r="J465" s="45"/>
      <c r="K465" s="45"/>
      <c r="L465" s="45"/>
    </row>
    <row r="466" customHeight="1" spans="1:12">
      <c r="A466" s="45"/>
      <c r="B466" s="60"/>
      <c r="D466" s="44"/>
      <c r="G466" s="45"/>
      <c r="H466" s="45"/>
      <c r="I466" s="45"/>
      <c r="J466" s="45"/>
      <c r="K466" s="45"/>
      <c r="L466" s="45"/>
    </row>
    <row r="467" customHeight="1" spans="1:12">
      <c r="A467" s="45"/>
      <c r="B467" s="60"/>
      <c r="D467" s="44"/>
      <c r="G467" s="45"/>
      <c r="H467" s="45"/>
      <c r="I467" s="45"/>
      <c r="J467" s="45"/>
      <c r="K467" s="45"/>
      <c r="L467" s="45"/>
    </row>
    <row r="468" customHeight="1" spans="1:12">
      <c r="A468" s="45"/>
      <c r="B468" s="60"/>
      <c r="D468" s="44"/>
      <c r="G468" s="45"/>
      <c r="H468" s="45"/>
      <c r="I468" s="45"/>
      <c r="J468" s="45"/>
      <c r="K468" s="45"/>
      <c r="L468" s="45"/>
    </row>
    <row r="469" customHeight="1" spans="1:12">
      <c r="A469" s="45"/>
      <c r="B469" s="60"/>
      <c r="D469" s="44"/>
      <c r="G469" s="45"/>
      <c r="H469" s="45"/>
      <c r="I469" s="45"/>
      <c r="J469" s="45"/>
      <c r="K469" s="45"/>
      <c r="L469" s="45"/>
    </row>
    <row r="470" customHeight="1" spans="1:12">
      <c r="A470" s="45"/>
      <c r="B470" s="60"/>
      <c r="D470" s="44"/>
      <c r="G470" s="45"/>
      <c r="H470" s="45"/>
      <c r="I470" s="45"/>
      <c r="J470" s="45"/>
      <c r="K470" s="45"/>
      <c r="L470" s="45"/>
    </row>
    <row r="471" customHeight="1" spans="1:12">
      <c r="A471" s="45"/>
      <c r="B471" s="60"/>
      <c r="D471" s="44"/>
      <c r="G471" s="45"/>
      <c r="H471" s="45"/>
      <c r="I471" s="45"/>
      <c r="J471" s="45"/>
      <c r="K471" s="45"/>
      <c r="L471" s="45"/>
    </row>
    <row r="472" customHeight="1" spans="1:12">
      <c r="A472" s="45"/>
      <c r="B472" s="60"/>
      <c r="D472" s="44"/>
      <c r="G472" s="45"/>
      <c r="H472" s="45"/>
      <c r="I472" s="45"/>
      <c r="J472" s="45"/>
      <c r="K472" s="45"/>
      <c r="L472" s="45"/>
    </row>
    <row r="473" customHeight="1" spans="1:12">
      <c r="A473" s="45"/>
      <c r="B473" s="60"/>
      <c r="D473" s="44"/>
      <c r="G473" s="45"/>
      <c r="H473" s="45"/>
      <c r="I473" s="45"/>
      <c r="J473" s="45"/>
      <c r="K473" s="45"/>
      <c r="L473" s="45"/>
    </row>
    <row r="474" customHeight="1" spans="1:12">
      <c r="A474" s="45"/>
      <c r="B474" s="60"/>
      <c r="D474" s="44"/>
      <c r="G474" s="45"/>
      <c r="H474" s="45"/>
      <c r="I474" s="45"/>
      <c r="J474" s="45"/>
      <c r="K474" s="45"/>
      <c r="L474" s="45"/>
    </row>
    <row r="475" customHeight="1" spans="1:12">
      <c r="A475" s="45"/>
      <c r="B475" s="60"/>
      <c r="D475" s="44"/>
      <c r="G475" s="45"/>
      <c r="H475" s="45"/>
      <c r="I475" s="45"/>
      <c r="J475" s="45"/>
      <c r="K475" s="45"/>
      <c r="L475" s="45"/>
    </row>
    <row r="476" customHeight="1" spans="1:12">
      <c r="A476" s="45"/>
      <c r="B476" s="60"/>
      <c r="D476" s="44"/>
      <c r="G476" s="45"/>
      <c r="H476" s="45"/>
      <c r="I476" s="45"/>
      <c r="J476" s="45"/>
      <c r="K476" s="45"/>
      <c r="L476" s="45"/>
    </row>
    <row r="477" customHeight="1" spans="1:12">
      <c r="A477" s="45"/>
      <c r="B477" s="60"/>
      <c r="D477" s="44"/>
      <c r="G477" s="45"/>
      <c r="H477" s="45"/>
      <c r="I477" s="45"/>
      <c r="J477" s="45"/>
      <c r="K477" s="45"/>
      <c r="L477" s="45"/>
    </row>
    <row r="478" customHeight="1" spans="1:12">
      <c r="A478" s="45"/>
      <c r="B478" s="60"/>
      <c r="D478" s="44"/>
      <c r="G478" s="45"/>
      <c r="H478" s="45"/>
      <c r="I478" s="45"/>
      <c r="J478" s="45"/>
      <c r="K478" s="45"/>
      <c r="L478" s="45"/>
    </row>
    <row r="479" customHeight="1" spans="1:12">
      <c r="A479" s="45"/>
      <c r="B479" s="60"/>
      <c r="D479" s="44"/>
      <c r="G479" s="45"/>
      <c r="H479" s="45"/>
      <c r="I479" s="45"/>
      <c r="J479" s="45"/>
      <c r="K479" s="45"/>
      <c r="L479" s="45"/>
    </row>
    <row r="480" customHeight="1" spans="1:12">
      <c r="A480" s="45"/>
      <c r="B480" s="60"/>
      <c r="D480" s="44"/>
      <c r="G480" s="45"/>
      <c r="H480" s="45"/>
      <c r="I480" s="45"/>
      <c r="J480" s="45"/>
      <c r="K480" s="45"/>
      <c r="L480" s="45"/>
    </row>
    <row r="481" customHeight="1" spans="1:12">
      <c r="A481" s="45"/>
      <c r="B481" s="60"/>
      <c r="D481" s="44"/>
      <c r="G481" s="45"/>
      <c r="H481" s="45"/>
      <c r="I481" s="45"/>
      <c r="J481" s="45"/>
      <c r="K481" s="45"/>
      <c r="L481" s="45"/>
    </row>
    <row r="482" customHeight="1" spans="1:12">
      <c r="A482" s="45"/>
      <c r="B482" s="60"/>
      <c r="D482" s="44"/>
      <c r="G482" s="45"/>
      <c r="H482" s="45"/>
      <c r="I482" s="45"/>
      <c r="J482" s="45"/>
      <c r="K482" s="45"/>
      <c r="L482" s="45"/>
    </row>
    <row r="483" customHeight="1" spans="1:12">
      <c r="A483" s="45"/>
      <c r="B483" s="60"/>
      <c r="D483" s="44"/>
      <c r="G483" s="45"/>
      <c r="H483" s="45"/>
      <c r="I483" s="45"/>
      <c r="J483" s="45"/>
      <c r="K483" s="45"/>
      <c r="L483" s="45"/>
    </row>
    <row r="484" customHeight="1" spans="1:12">
      <c r="A484" s="45"/>
      <c r="B484" s="60"/>
      <c r="D484" s="44"/>
      <c r="G484" s="45"/>
      <c r="H484" s="45"/>
      <c r="I484" s="45"/>
      <c r="J484" s="45"/>
      <c r="K484" s="45"/>
      <c r="L484" s="45"/>
    </row>
    <row r="485" customHeight="1" spans="1:12">
      <c r="A485" s="45"/>
      <c r="B485" s="60"/>
      <c r="D485" s="44"/>
      <c r="G485" s="45"/>
      <c r="H485" s="45"/>
      <c r="I485" s="45"/>
      <c r="J485" s="45"/>
      <c r="K485" s="45"/>
      <c r="L485" s="45"/>
    </row>
    <row r="486" customHeight="1" spans="1:12">
      <c r="A486" s="45"/>
      <c r="B486" s="60"/>
      <c r="D486" s="44"/>
      <c r="G486" s="45"/>
      <c r="H486" s="45"/>
      <c r="I486" s="45"/>
      <c r="J486" s="45"/>
      <c r="K486" s="45"/>
      <c r="L486" s="45"/>
    </row>
    <row r="487" customHeight="1" spans="1:12">
      <c r="A487" s="45"/>
      <c r="B487" s="60"/>
      <c r="D487" s="44"/>
      <c r="G487" s="45"/>
      <c r="H487" s="45"/>
      <c r="I487" s="45"/>
      <c r="J487" s="45"/>
      <c r="K487" s="45"/>
      <c r="L487" s="45"/>
    </row>
    <row r="488" customHeight="1" spans="1:12">
      <c r="A488" s="45"/>
      <c r="B488" s="60"/>
      <c r="D488" s="44"/>
      <c r="G488" s="45"/>
      <c r="H488" s="45"/>
      <c r="I488" s="45"/>
      <c r="J488" s="45"/>
      <c r="K488" s="45"/>
      <c r="L488" s="45"/>
    </row>
    <row r="489" customHeight="1" spans="1:12">
      <c r="A489" s="45"/>
      <c r="B489" s="60"/>
      <c r="D489" s="44"/>
      <c r="G489" s="45"/>
      <c r="H489" s="45"/>
      <c r="I489" s="45"/>
      <c r="J489" s="45"/>
      <c r="K489" s="45"/>
      <c r="L489" s="45"/>
    </row>
    <row r="490" customHeight="1" spans="1:12">
      <c r="A490" s="45"/>
      <c r="B490" s="60"/>
      <c r="D490" s="44"/>
      <c r="G490" s="45"/>
      <c r="H490" s="45"/>
      <c r="I490" s="45"/>
      <c r="J490" s="45"/>
      <c r="K490" s="45"/>
      <c r="L490" s="45"/>
    </row>
    <row r="491" customHeight="1" spans="1:12">
      <c r="A491" s="45"/>
      <c r="B491" s="60"/>
      <c r="D491" s="44"/>
      <c r="G491" s="45"/>
      <c r="H491" s="45"/>
      <c r="I491" s="45"/>
      <c r="J491" s="45"/>
      <c r="K491" s="45"/>
      <c r="L491" s="45"/>
    </row>
    <row r="492" customHeight="1" spans="1:12">
      <c r="A492" s="45"/>
      <c r="B492" s="60"/>
      <c r="D492" s="44"/>
      <c r="G492" s="45"/>
      <c r="H492" s="45"/>
      <c r="I492" s="45"/>
      <c r="J492" s="45"/>
      <c r="K492" s="45"/>
      <c r="L492" s="45"/>
    </row>
    <row r="493" customHeight="1" spans="1:12">
      <c r="A493" s="45"/>
      <c r="B493" s="60"/>
      <c r="D493" s="44"/>
      <c r="G493" s="45"/>
      <c r="H493" s="45"/>
      <c r="I493" s="45"/>
      <c r="J493" s="45"/>
      <c r="K493" s="45"/>
      <c r="L493" s="45"/>
    </row>
    <row r="494" customHeight="1" spans="1:12">
      <c r="A494" s="45"/>
      <c r="B494" s="60"/>
      <c r="D494" s="44"/>
      <c r="G494" s="45"/>
      <c r="H494" s="45"/>
      <c r="I494" s="45"/>
      <c r="J494" s="45"/>
      <c r="K494" s="45"/>
      <c r="L494" s="45"/>
    </row>
    <row r="495" customHeight="1" spans="1:12">
      <c r="A495" s="45"/>
      <c r="B495" s="60"/>
      <c r="D495" s="44"/>
      <c r="G495" s="45"/>
      <c r="H495" s="45"/>
      <c r="I495" s="45"/>
      <c r="J495" s="45"/>
      <c r="K495" s="45"/>
      <c r="L495" s="45"/>
    </row>
    <row r="496" customHeight="1" spans="1:12">
      <c r="A496" s="45"/>
      <c r="B496" s="60"/>
      <c r="D496" s="44"/>
      <c r="G496" s="45"/>
      <c r="H496" s="45"/>
      <c r="I496" s="45"/>
      <c r="J496" s="45"/>
      <c r="K496" s="45"/>
      <c r="L496" s="45"/>
    </row>
    <row r="497" customHeight="1" spans="1:12">
      <c r="A497" s="45"/>
      <c r="B497" s="60"/>
      <c r="D497" s="44"/>
      <c r="G497" s="45"/>
      <c r="H497" s="45"/>
      <c r="I497" s="45"/>
      <c r="J497" s="45"/>
      <c r="K497" s="45"/>
      <c r="L497" s="45"/>
    </row>
    <row r="498" customHeight="1" spans="1:12">
      <c r="A498" s="45"/>
      <c r="B498" s="60"/>
      <c r="D498" s="44"/>
      <c r="G498" s="45"/>
      <c r="H498" s="45"/>
      <c r="I498" s="45"/>
      <c r="J498" s="45"/>
      <c r="K498" s="45"/>
      <c r="L498" s="45"/>
    </row>
    <row r="499" customHeight="1" spans="1:12">
      <c r="A499" s="45"/>
      <c r="B499" s="60"/>
      <c r="D499" s="44"/>
      <c r="G499" s="45"/>
      <c r="H499" s="45"/>
      <c r="I499" s="45"/>
      <c r="J499" s="45"/>
      <c r="K499" s="45"/>
      <c r="L499" s="45"/>
    </row>
    <row r="500" customHeight="1" spans="1:12">
      <c r="A500" s="45"/>
      <c r="B500" s="60"/>
      <c r="D500" s="44"/>
      <c r="G500" s="45"/>
      <c r="H500" s="45"/>
      <c r="I500" s="45"/>
      <c r="J500" s="45"/>
      <c r="K500" s="45"/>
      <c r="L500" s="45"/>
    </row>
    <row r="501" customHeight="1" spans="1:12">
      <c r="A501" s="45"/>
      <c r="B501" s="60"/>
      <c r="D501" s="44"/>
      <c r="G501" s="45"/>
      <c r="H501" s="45"/>
      <c r="I501" s="45"/>
      <c r="J501" s="45"/>
      <c r="K501" s="45"/>
      <c r="L501" s="45"/>
    </row>
    <row r="502" customHeight="1" spans="1:12">
      <c r="A502" s="45"/>
      <c r="B502" s="60"/>
      <c r="D502" s="44"/>
      <c r="G502" s="45"/>
      <c r="H502" s="45"/>
      <c r="I502" s="45"/>
      <c r="J502" s="45"/>
      <c r="K502" s="45"/>
      <c r="L502" s="45"/>
    </row>
    <row r="503" customHeight="1" spans="1:12">
      <c r="A503" s="45"/>
      <c r="B503" s="60"/>
      <c r="D503" s="44"/>
      <c r="G503" s="45"/>
      <c r="H503" s="45"/>
      <c r="I503" s="45"/>
      <c r="J503" s="45"/>
      <c r="K503" s="45"/>
      <c r="L503" s="45"/>
    </row>
    <row r="504" customHeight="1" spans="1:12">
      <c r="A504" s="45"/>
      <c r="B504" s="60"/>
      <c r="D504" s="44"/>
      <c r="G504" s="45"/>
      <c r="H504" s="45"/>
      <c r="I504" s="45"/>
      <c r="J504" s="45"/>
      <c r="K504" s="45"/>
      <c r="L504" s="45"/>
    </row>
    <row r="505" customHeight="1" spans="1:12">
      <c r="A505" s="45"/>
      <c r="B505" s="60"/>
      <c r="D505" s="44"/>
      <c r="G505" s="45"/>
      <c r="H505" s="45"/>
      <c r="I505" s="45"/>
      <c r="J505" s="45"/>
      <c r="K505" s="45"/>
      <c r="L505" s="45"/>
    </row>
    <row r="506" customHeight="1" spans="1:12">
      <c r="A506" s="45"/>
      <c r="B506" s="60"/>
      <c r="D506" s="44"/>
      <c r="G506" s="45"/>
      <c r="H506" s="45"/>
      <c r="I506" s="45"/>
      <c r="J506" s="45"/>
      <c r="K506" s="45"/>
      <c r="L506" s="45"/>
    </row>
    <row r="507" customHeight="1" spans="1:12">
      <c r="A507" s="45"/>
      <c r="B507" s="60"/>
      <c r="D507" s="44"/>
      <c r="G507" s="45"/>
      <c r="H507" s="45"/>
      <c r="I507" s="45"/>
      <c r="J507" s="45"/>
      <c r="K507" s="45"/>
      <c r="L507" s="45"/>
    </row>
    <row r="508" customHeight="1" spans="1:12">
      <c r="A508" s="45"/>
      <c r="B508" s="60"/>
      <c r="D508" s="44"/>
      <c r="G508" s="45"/>
      <c r="H508" s="45"/>
      <c r="I508" s="45"/>
      <c r="J508" s="45"/>
      <c r="K508" s="45"/>
      <c r="L508" s="45"/>
    </row>
    <row r="509" customHeight="1" spans="1:12">
      <c r="A509" s="45"/>
      <c r="B509" s="60"/>
      <c r="D509" s="44"/>
      <c r="G509" s="45"/>
      <c r="H509" s="45"/>
      <c r="I509" s="45"/>
      <c r="J509" s="45"/>
      <c r="K509" s="45"/>
      <c r="L509" s="45"/>
    </row>
    <row r="510" customHeight="1" spans="1:12">
      <c r="A510" s="45"/>
      <c r="B510" s="60"/>
      <c r="D510" s="44"/>
      <c r="G510" s="45"/>
      <c r="H510" s="45"/>
      <c r="I510" s="45"/>
      <c r="J510" s="45"/>
      <c r="K510" s="45"/>
      <c r="L510" s="45"/>
    </row>
    <row r="511" customHeight="1" spans="1:12">
      <c r="A511" s="45"/>
      <c r="B511" s="60"/>
      <c r="D511" s="44"/>
      <c r="G511" s="45"/>
      <c r="H511" s="45"/>
      <c r="I511" s="45"/>
      <c r="J511" s="45"/>
      <c r="K511" s="45"/>
      <c r="L511" s="45"/>
    </row>
    <row r="512" customHeight="1" spans="1:12">
      <c r="A512" s="45"/>
      <c r="B512" s="60"/>
      <c r="D512" s="44"/>
      <c r="G512" s="45"/>
      <c r="H512" s="45"/>
      <c r="I512" s="45"/>
      <c r="J512" s="45"/>
      <c r="K512" s="45"/>
      <c r="L512" s="45"/>
    </row>
    <row r="513" customHeight="1" spans="1:12">
      <c r="A513" s="45"/>
      <c r="B513" s="60"/>
      <c r="D513" s="44"/>
      <c r="G513" s="45"/>
      <c r="H513" s="45"/>
      <c r="I513" s="45"/>
      <c r="J513" s="45"/>
      <c r="K513" s="45"/>
      <c r="L513" s="45"/>
    </row>
    <row r="514" customHeight="1" spans="1:12">
      <c r="A514" s="45"/>
      <c r="B514" s="60"/>
      <c r="D514" s="44"/>
      <c r="G514" s="45"/>
      <c r="H514" s="45"/>
      <c r="I514" s="45"/>
      <c r="J514" s="45"/>
      <c r="K514" s="45"/>
      <c r="L514" s="45"/>
    </row>
    <row r="515" customHeight="1" spans="1:12">
      <c r="A515" s="45"/>
      <c r="B515" s="60"/>
      <c r="D515" s="44"/>
      <c r="G515" s="45"/>
      <c r="H515" s="45"/>
      <c r="I515" s="45"/>
      <c r="J515" s="45"/>
      <c r="K515" s="45"/>
      <c r="L515" s="45"/>
    </row>
    <row r="516" customHeight="1" spans="1:12">
      <c r="A516" s="45"/>
      <c r="B516" s="60"/>
      <c r="D516" s="44"/>
      <c r="G516" s="45"/>
      <c r="H516" s="45"/>
      <c r="I516" s="45"/>
      <c r="J516" s="45"/>
      <c r="K516" s="45"/>
      <c r="L516" s="45"/>
    </row>
    <row r="517" customHeight="1" spans="1:12">
      <c r="A517" s="45"/>
      <c r="B517" s="60"/>
      <c r="D517" s="44"/>
      <c r="G517" s="45"/>
      <c r="H517" s="45"/>
      <c r="I517" s="45"/>
      <c r="J517" s="45"/>
      <c r="K517" s="45"/>
      <c r="L517" s="45"/>
    </row>
    <row r="518" customHeight="1" spans="1:12">
      <c r="A518" s="45"/>
      <c r="B518" s="60"/>
      <c r="D518" s="44"/>
      <c r="G518" s="45"/>
      <c r="H518" s="45"/>
      <c r="I518" s="45"/>
      <c r="J518" s="45"/>
      <c r="K518" s="45"/>
      <c r="L518" s="45"/>
    </row>
    <row r="519" customHeight="1" spans="1:12">
      <c r="A519" s="45"/>
      <c r="B519" s="60"/>
      <c r="D519" s="44"/>
      <c r="G519" s="45"/>
      <c r="H519" s="45"/>
      <c r="I519" s="45"/>
      <c r="J519" s="45"/>
      <c r="K519" s="45"/>
      <c r="L519" s="45"/>
    </row>
    <row r="520" customHeight="1" spans="1:12">
      <c r="A520" s="45"/>
      <c r="B520" s="60"/>
      <c r="D520" s="44"/>
      <c r="G520" s="45"/>
      <c r="H520" s="45"/>
      <c r="I520" s="45"/>
      <c r="J520" s="45"/>
      <c r="K520" s="45"/>
      <c r="L520" s="45"/>
    </row>
    <row r="521" customHeight="1" spans="1:12">
      <c r="A521" s="45"/>
      <c r="B521" s="60"/>
      <c r="D521" s="44"/>
      <c r="G521" s="45"/>
      <c r="H521" s="45"/>
      <c r="I521" s="45"/>
      <c r="J521" s="45"/>
      <c r="K521" s="45"/>
      <c r="L521" s="45"/>
    </row>
    <row r="522" customHeight="1" spans="1:12">
      <c r="A522" s="45"/>
      <c r="B522" s="60"/>
      <c r="D522" s="44"/>
      <c r="G522" s="45"/>
      <c r="H522" s="45"/>
      <c r="I522" s="45"/>
      <c r="J522" s="45"/>
      <c r="K522" s="45"/>
      <c r="L522" s="45"/>
    </row>
    <row r="523" customHeight="1" spans="1:12">
      <c r="A523" s="45"/>
      <c r="B523" s="60"/>
      <c r="D523" s="44"/>
      <c r="G523" s="45"/>
      <c r="H523" s="45"/>
      <c r="I523" s="45"/>
      <c r="J523" s="45"/>
      <c r="K523" s="45"/>
      <c r="L523" s="45"/>
    </row>
    <row r="524" customHeight="1" spans="1:12">
      <c r="A524" s="45"/>
      <c r="B524" s="60"/>
      <c r="D524" s="44"/>
      <c r="G524" s="45"/>
      <c r="H524" s="45"/>
      <c r="I524" s="45"/>
      <c r="J524" s="45"/>
      <c r="K524" s="45"/>
      <c r="L524" s="45"/>
    </row>
    <row r="525" customHeight="1" spans="1:12">
      <c r="A525" s="45"/>
      <c r="B525" s="60"/>
      <c r="D525" s="44"/>
      <c r="G525" s="45"/>
      <c r="H525" s="45"/>
      <c r="I525" s="45"/>
      <c r="J525" s="45"/>
      <c r="K525" s="45"/>
      <c r="L525" s="45"/>
    </row>
    <row r="526" customHeight="1" spans="1:12">
      <c r="A526" s="45"/>
      <c r="B526" s="60"/>
      <c r="D526" s="44"/>
      <c r="G526" s="45"/>
      <c r="H526" s="45"/>
      <c r="I526" s="45"/>
      <c r="J526" s="45"/>
      <c r="K526" s="45"/>
      <c r="L526" s="45"/>
    </row>
    <row r="527" customHeight="1" spans="1:12">
      <c r="A527" s="45"/>
      <c r="B527" s="60"/>
      <c r="D527" s="44"/>
      <c r="G527" s="45"/>
      <c r="H527" s="45"/>
      <c r="I527" s="45"/>
      <c r="J527" s="45"/>
      <c r="K527" s="45"/>
      <c r="L527" s="45"/>
    </row>
    <row r="528" customHeight="1" spans="1:12">
      <c r="A528" s="45"/>
      <c r="B528" s="60"/>
      <c r="D528" s="44"/>
      <c r="G528" s="45"/>
      <c r="H528" s="45"/>
      <c r="I528" s="45"/>
      <c r="J528" s="45"/>
      <c r="K528" s="45"/>
      <c r="L528" s="45"/>
    </row>
    <row r="529" customHeight="1" spans="1:12">
      <c r="A529" s="45"/>
      <c r="B529" s="60"/>
      <c r="D529" s="44"/>
      <c r="G529" s="45"/>
      <c r="H529" s="45"/>
      <c r="I529" s="45"/>
      <c r="J529" s="45"/>
      <c r="K529" s="45"/>
      <c r="L529" s="45"/>
    </row>
    <row r="530" customHeight="1" spans="1:12">
      <c r="A530" s="45"/>
      <c r="B530" s="60"/>
      <c r="D530" s="44"/>
      <c r="G530" s="45"/>
      <c r="H530" s="45"/>
      <c r="I530" s="45"/>
      <c r="J530" s="45"/>
      <c r="K530" s="45"/>
      <c r="L530" s="45"/>
    </row>
    <row r="531" customHeight="1" spans="1:12">
      <c r="A531" s="45"/>
      <c r="B531" s="60"/>
      <c r="D531" s="44"/>
      <c r="G531" s="45"/>
      <c r="H531" s="45"/>
      <c r="I531" s="45"/>
      <c r="J531" s="45"/>
      <c r="K531" s="45"/>
      <c r="L531" s="45"/>
    </row>
    <row r="532" customHeight="1" spans="1:12">
      <c r="A532" s="45"/>
      <c r="B532" s="60"/>
      <c r="D532" s="44"/>
      <c r="G532" s="45"/>
      <c r="H532" s="45"/>
      <c r="I532" s="45"/>
      <c r="J532" s="45"/>
      <c r="K532" s="45"/>
      <c r="L532" s="45"/>
    </row>
    <row r="533" customHeight="1" spans="1:12">
      <c r="A533" s="45"/>
      <c r="B533" s="60"/>
      <c r="D533" s="44"/>
      <c r="G533" s="45"/>
      <c r="H533" s="45"/>
      <c r="I533" s="45"/>
      <c r="J533" s="45"/>
      <c r="K533" s="45"/>
      <c r="L533" s="45"/>
    </row>
    <row r="534" customHeight="1" spans="1:12">
      <c r="A534" s="45"/>
      <c r="B534" s="60"/>
      <c r="D534" s="44"/>
      <c r="G534" s="45"/>
      <c r="H534" s="45"/>
      <c r="I534" s="45"/>
      <c r="J534" s="45"/>
      <c r="K534" s="45"/>
      <c r="L534" s="45"/>
    </row>
    <row r="535" customHeight="1" spans="1:12">
      <c r="A535" s="45"/>
      <c r="B535" s="60"/>
      <c r="D535" s="44"/>
      <c r="G535" s="45"/>
      <c r="H535" s="45"/>
      <c r="I535" s="45"/>
      <c r="J535" s="45"/>
      <c r="K535" s="45"/>
      <c r="L535" s="45"/>
    </row>
    <row r="536" customHeight="1" spans="1:12">
      <c r="A536" s="45"/>
      <c r="B536" s="60"/>
      <c r="D536" s="44"/>
      <c r="G536" s="45"/>
      <c r="H536" s="45"/>
      <c r="I536" s="45"/>
      <c r="J536" s="45"/>
      <c r="K536" s="45"/>
      <c r="L536" s="45"/>
    </row>
    <row r="537" customHeight="1" spans="1:12">
      <c r="A537" s="45"/>
      <c r="B537" s="60"/>
      <c r="D537" s="44"/>
      <c r="G537" s="45"/>
      <c r="H537" s="45"/>
      <c r="I537" s="45"/>
      <c r="J537" s="45"/>
      <c r="K537" s="45"/>
      <c r="L537" s="45"/>
    </row>
    <row r="538" customHeight="1" spans="1:12">
      <c r="A538" s="45"/>
      <c r="B538" s="60"/>
      <c r="D538" s="44"/>
      <c r="G538" s="45"/>
      <c r="H538" s="45"/>
      <c r="I538" s="45"/>
      <c r="J538" s="45"/>
      <c r="K538" s="45"/>
      <c r="L538" s="45"/>
    </row>
    <row r="539" customHeight="1" spans="1:12">
      <c r="A539" s="45"/>
      <c r="B539" s="60"/>
      <c r="D539" s="44"/>
      <c r="G539" s="45"/>
      <c r="H539" s="45"/>
      <c r="I539" s="45"/>
      <c r="J539" s="45"/>
      <c r="K539" s="45"/>
      <c r="L539" s="45"/>
    </row>
    <row r="540" customHeight="1" spans="1:12">
      <c r="A540" s="45"/>
      <c r="B540" s="60"/>
      <c r="D540" s="44"/>
      <c r="G540" s="45"/>
      <c r="H540" s="45"/>
      <c r="I540" s="45"/>
      <c r="J540" s="45"/>
      <c r="K540" s="45"/>
      <c r="L540" s="45"/>
    </row>
    <row r="541" customHeight="1" spans="1:12">
      <c r="A541" s="45"/>
      <c r="B541" s="60"/>
      <c r="D541" s="44"/>
      <c r="G541" s="45"/>
      <c r="H541" s="45"/>
      <c r="I541" s="45"/>
      <c r="J541" s="45"/>
      <c r="K541" s="45"/>
      <c r="L541" s="45"/>
    </row>
    <row r="542" customHeight="1" spans="1:12">
      <c r="A542" s="45"/>
      <c r="B542" s="60"/>
      <c r="D542" s="44"/>
      <c r="G542" s="45"/>
      <c r="H542" s="45"/>
      <c r="I542" s="45"/>
      <c r="J542" s="45"/>
      <c r="K542" s="45"/>
      <c r="L542" s="45"/>
    </row>
    <row r="543" customHeight="1" spans="1:12">
      <c r="A543" s="45"/>
      <c r="B543" s="60"/>
      <c r="D543" s="44"/>
      <c r="G543" s="45"/>
      <c r="H543" s="45"/>
      <c r="I543" s="45"/>
      <c r="J543" s="45"/>
      <c r="K543" s="45"/>
      <c r="L543" s="45"/>
    </row>
    <row r="544" customHeight="1" spans="1:12">
      <c r="A544" s="45"/>
      <c r="B544" s="60"/>
      <c r="D544" s="44"/>
      <c r="G544" s="45"/>
      <c r="H544" s="45"/>
      <c r="I544" s="45"/>
      <c r="J544" s="45"/>
      <c r="K544" s="45"/>
      <c r="L544" s="45"/>
    </row>
    <row r="545" customHeight="1" spans="1:12">
      <c r="A545" s="45"/>
      <c r="B545" s="60"/>
      <c r="D545" s="44"/>
      <c r="G545" s="45"/>
      <c r="H545" s="45"/>
      <c r="I545" s="45"/>
      <c r="J545" s="45"/>
      <c r="K545" s="45"/>
      <c r="L545" s="45"/>
    </row>
    <row r="546" customHeight="1" spans="1:12">
      <c r="A546" s="45"/>
      <c r="B546" s="60"/>
      <c r="D546" s="44"/>
      <c r="G546" s="45"/>
      <c r="H546" s="45"/>
      <c r="I546" s="45"/>
      <c r="J546" s="45"/>
      <c r="K546" s="45"/>
      <c r="L546" s="45"/>
    </row>
    <row r="547" customHeight="1" spans="1:12">
      <c r="A547" s="45"/>
      <c r="B547" s="60"/>
      <c r="D547" s="44"/>
      <c r="G547" s="45"/>
      <c r="H547" s="45"/>
      <c r="I547" s="45"/>
      <c r="J547" s="45"/>
      <c r="K547" s="45"/>
      <c r="L547" s="45"/>
    </row>
    <row r="548" customHeight="1" spans="1:12">
      <c r="A548" s="45"/>
      <c r="B548" s="60"/>
      <c r="D548" s="44"/>
      <c r="G548" s="45"/>
      <c r="H548" s="45"/>
      <c r="I548" s="45"/>
      <c r="J548" s="45"/>
      <c r="K548" s="45"/>
      <c r="L548" s="45"/>
    </row>
    <row r="549" customHeight="1" spans="1:12">
      <c r="A549" s="45"/>
      <c r="B549" s="60"/>
      <c r="D549" s="44"/>
      <c r="G549" s="45"/>
      <c r="H549" s="45"/>
      <c r="I549" s="45"/>
      <c r="J549" s="45"/>
      <c r="K549" s="45"/>
      <c r="L549" s="45"/>
    </row>
    <row r="550" customHeight="1" spans="1:12">
      <c r="A550" s="45"/>
      <c r="B550" s="60"/>
      <c r="D550" s="44"/>
      <c r="G550" s="45"/>
      <c r="H550" s="45"/>
      <c r="I550" s="45"/>
      <c r="J550" s="45"/>
      <c r="K550" s="45"/>
      <c r="L550" s="45"/>
    </row>
    <row r="551" customHeight="1" spans="1:12">
      <c r="A551" s="45"/>
      <c r="B551" s="60"/>
      <c r="D551" s="44"/>
      <c r="G551" s="45"/>
      <c r="H551" s="45"/>
      <c r="I551" s="45"/>
      <c r="J551" s="45"/>
      <c r="K551" s="45"/>
      <c r="L551" s="45"/>
    </row>
    <row r="552" customHeight="1" spans="1:12">
      <c r="A552" s="45"/>
      <c r="B552" s="60"/>
      <c r="D552" s="44"/>
      <c r="G552" s="45"/>
      <c r="H552" s="45"/>
      <c r="I552" s="45"/>
      <c r="J552" s="45"/>
      <c r="K552" s="45"/>
      <c r="L552" s="45"/>
    </row>
    <row r="553" customHeight="1" spans="1:12">
      <c r="A553" s="45"/>
      <c r="B553" s="60"/>
      <c r="D553" s="44"/>
      <c r="G553" s="45"/>
      <c r="H553" s="45"/>
      <c r="I553" s="45"/>
      <c r="J553" s="45"/>
      <c r="K553" s="45"/>
      <c r="L553" s="45"/>
    </row>
    <row r="554" customHeight="1" spans="1:12">
      <c r="A554" s="45"/>
      <c r="B554" s="60"/>
      <c r="D554" s="44"/>
      <c r="G554" s="45"/>
      <c r="H554" s="45"/>
      <c r="I554" s="45"/>
      <c r="J554" s="45"/>
      <c r="K554" s="45"/>
      <c r="L554" s="45"/>
    </row>
    <row r="555" customHeight="1" spans="1:12">
      <c r="A555" s="45"/>
      <c r="B555" s="60"/>
      <c r="D555" s="44"/>
      <c r="G555" s="45"/>
      <c r="H555" s="45"/>
      <c r="I555" s="45"/>
      <c r="J555" s="45"/>
      <c r="K555" s="45"/>
      <c r="L555" s="45"/>
    </row>
    <row r="556" customHeight="1" spans="1:12">
      <c r="A556" s="45"/>
      <c r="B556" s="60"/>
      <c r="D556" s="44"/>
      <c r="G556" s="45"/>
      <c r="H556" s="45"/>
      <c r="I556" s="45"/>
      <c r="J556" s="45"/>
      <c r="K556" s="45"/>
      <c r="L556" s="45"/>
    </row>
    <row r="557" customHeight="1" spans="1:12">
      <c r="A557" s="45"/>
      <c r="B557" s="60"/>
      <c r="D557" s="44"/>
      <c r="G557" s="45"/>
      <c r="H557" s="45"/>
      <c r="I557" s="45"/>
      <c r="J557" s="45"/>
      <c r="K557" s="45"/>
      <c r="L557" s="45"/>
    </row>
    <row r="558" customHeight="1" spans="1:12">
      <c r="A558" s="45"/>
      <c r="B558" s="60"/>
      <c r="D558" s="44"/>
      <c r="G558" s="45"/>
      <c r="H558" s="45"/>
      <c r="I558" s="45"/>
      <c r="J558" s="45"/>
      <c r="K558" s="45"/>
      <c r="L558" s="45"/>
    </row>
    <row r="559" customHeight="1" spans="1:12">
      <c r="A559" s="45"/>
      <c r="B559" s="60"/>
      <c r="D559" s="44"/>
      <c r="G559" s="45"/>
      <c r="H559" s="45"/>
      <c r="I559" s="45"/>
      <c r="J559" s="45"/>
      <c r="K559" s="45"/>
      <c r="L559" s="45"/>
    </row>
    <row r="560" customHeight="1" spans="1:12">
      <c r="A560" s="45"/>
      <c r="B560" s="60"/>
      <c r="D560" s="44"/>
      <c r="G560" s="45"/>
      <c r="H560" s="45"/>
      <c r="I560" s="45"/>
      <c r="J560" s="45"/>
      <c r="K560" s="45"/>
      <c r="L560" s="45"/>
    </row>
    <row r="561" customHeight="1" spans="1:12">
      <c r="A561" s="45"/>
      <c r="B561" s="60"/>
      <c r="D561" s="44"/>
      <c r="G561" s="45"/>
      <c r="H561" s="45"/>
      <c r="I561" s="45"/>
      <c r="J561" s="45"/>
      <c r="K561" s="45"/>
      <c r="L561" s="45"/>
    </row>
    <row r="562" customHeight="1" spans="1:12">
      <c r="A562" s="45"/>
      <c r="B562" s="60"/>
      <c r="D562" s="44"/>
      <c r="G562" s="45"/>
      <c r="H562" s="45"/>
      <c r="I562" s="45"/>
      <c r="J562" s="45"/>
      <c r="K562" s="45"/>
      <c r="L562" s="45"/>
    </row>
    <row r="563" customHeight="1" spans="1:12">
      <c r="A563" s="45"/>
      <c r="B563" s="60"/>
      <c r="D563" s="44"/>
      <c r="G563" s="45"/>
      <c r="H563" s="45"/>
      <c r="I563" s="45"/>
      <c r="J563" s="45"/>
      <c r="K563" s="45"/>
      <c r="L563" s="45"/>
    </row>
    <row r="564" customHeight="1" spans="1:12">
      <c r="A564" s="45"/>
      <c r="B564" s="60"/>
      <c r="D564" s="44"/>
      <c r="G564" s="45"/>
      <c r="H564" s="45"/>
      <c r="I564" s="45"/>
      <c r="J564" s="45"/>
      <c r="K564" s="45"/>
      <c r="L564" s="45"/>
    </row>
    <row r="565" customHeight="1" spans="1:12">
      <c r="A565" s="45"/>
      <c r="B565" s="60"/>
      <c r="D565" s="44"/>
      <c r="G565" s="45"/>
      <c r="H565" s="45"/>
      <c r="I565" s="45"/>
      <c r="J565" s="45"/>
      <c r="K565" s="45"/>
      <c r="L565" s="45"/>
    </row>
    <row r="566" customHeight="1" spans="1:12">
      <c r="A566" s="45"/>
      <c r="B566" s="60"/>
      <c r="D566" s="44"/>
      <c r="G566" s="45"/>
      <c r="H566" s="45"/>
      <c r="I566" s="45"/>
      <c r="J566" s="45"/>
      <c r="K566" s="45"/>
      <c r="L566" s="45"/>
    </row>
    <row r="567" customHeight="1" spans="1:12">
      <c r="A567" s="45"/>
      <c r="B567" s="60"/>
      <c r="D567" s="44"/>
      <c r="G567" s="45"/>
      <c r="H567" s="45"/>
      <c r="I567" s="45"/>
      <c r="J567" s="45"/>
      <c r="K567" s="45"/>
      <c r="L567" s="45"/>
    </row>
    <row r="568" customHeight="1" spans="1:12">
      <c r="A568" s="45"/>
      <c r="B568" s="60"/>
      <c r="D568" s="44"/>
      <c r="G568" s="45"/>
      <c r="H568" s="45"/>
      <c r="I568" s="45"/>
      <c r="J568" s="45"/>
      <c r="K568" s="45"/>
      <c r="L568" s="45"/>
    </row>
    <row r="569" customHeight="1" spans="1:12">
      <c r="A569" s="45"/>
      <c r="B569" s="60"/>
      <c r="D569" s="44"/>
      <c r="G569" s="45"/>
      <c r="H569" s="45"/>
      <c r="I569" s="45"/>
      <c r="J569" s="45"/>
      <c r="K569" s="45"/>
      <c r="L569" s="45"/>
    </row>
    <row r="570" customHeight="1" spans="1:12">
      <c r="A570" s="45"/>
      <c r="B570" s="60"/>
      <c r="D570" s="44"/>
      <c r="G570" s="45"/>
      <c r="H570" s="45"/>
      <c r="I570" s="45"/>
      <c r="J570" s="45"/>
      <c r="K570" s="45"/>
      <c r="L570" s="45"/>
    </row>
    <row r="571" customHeight="1" spans="1:12">
      <c r="A571" s="45"/>
      <c r="B571" s="60"/>
      <c r="D571" s="44"/>
      <c r="G571" s="45"/>
      <c r="H571" s="45"/>
      <c r="I571" s="45"/>
      <c r="J571" s="45"/>
      <c r="K571" s="45"/>
      <c r="L571" s="45"/>
    </row>
    <row r="572" customHeight="1" spans="1:12">
      <c r="A572" s="45"/>
      <c r="B572" s="60"/>
      <c r="D572" s="44"/>
      <c r="G572" s="45"/>
      <c r="H572" s="45"/>
      <c r="I572" s="45"/>
      <c r="J572" s="45"/>
      <c r="K572" s="45"/>
      <c r="L572" s="45"/>
    </row>
    <row r="573" customHeight="1" spans="1:12">
      <c r="A573" s="45"/>
      <c r="B573" s="60"/>
      <c r="D573" s="44"/>
      <c r="G573" s="45"/>
      <c r="H573" s="45"/>
      <c r="I573" s="45"/>
      <c r="J573" s="45"/>
      <c r="K573" s="45"/>
      <c r="L573" s="45"/>
    </row>
    <row r="574" customHeight="1" spans="1:12">
      <c r="A574" s="45"/>
      <c r="B574" s="60"/>
      <c r="D574" s="44"/>
      <c r="G574" s="45"/>
      <c r="H574" s="45"/>
      <c r="I574" s="45"/>
      <c r="J574" s="45"/>
      <c r="K574" s="45"/>
      <c r="L574" s="45"/>
    </row>
    <row r="575" customHeight="1" spans="1:12">
      <c r="A575" s="45"/>
      <c r="B575" s="60"/>
      <c r="D575" s="44"/>
      <c r="G575" s="45"/>
      <c r="H575" s="45"/>
      <c r="I575" s="45"/>
      <c r="J575" s="45"/>
      <c r="K575" s="45"/>
      <c r="L575" s="45"/>
    </row>
    <row r="576" customHeight="1" spans="1:12">
      <c r="A576" s="45"/>
      <c r="B576" s="60"/>
      <c r="D576" s="44"/>
      <c r="G576" s="45"/>
      <c r="H576" s="45"/>
      <c r="I576" s="45"/>
      <c r="J576" s="45"/>
      <c r="K576" s="45"/>
      <c r="L576" s="45"/>
    </row>
    <row r="577" customHeight="1" spans="1:12">
      <c r="A577" s="45"/>
      <c r="B577" s="60"/>
      <c r="D577" s="44"/>
      <c r="G577" s="45"/>
      <c r="H577" s="45"/>
      <c r="I577" s="45"/>
      <c r="J577" s="45"/>
      <c r="K577" s="45"/>
      <c r="L577" s="45"/>
    </row>
    <row r="578" customHeight="1" spans="1:12">
      <c r="A578" s="45"/>
      <c r="B578" s="60"/>
      <c r="D578" s="44"/>
      <c r="G578" s="45"/>
      <c r="H578" s="45"/>
      <c r="I578" s="45"/>
      <c r="J578" s="45"/>
      <c r="K578" s="45"/>
      <c r="L578" s="45"/>
    </row>
    <row r="579" customHeight="1" spans="1:12">
      <c r="A579" s="45"/>
      <c r="B579" s="60"/>
      <c r="D579" s="44"/>
      <c r="G579" s="45"/>
      <c r="H579" s="45"/>
      <c r="I579" s="45"/>
      <c r="J579" s="45"/>
      <c r="K579" s="45"/>
      <c r="L579" s="45"/>
    </row>
    <row r="580" customHeight="1" spans="1:12">
      <c r="A580" s="45"/>
      <c r="B580" s="60"/>
      <c r="D580" s="44"/>
      <c r="G580" s="45"/>
      <c r="H580" s="45"/>
      <c r="I580" s="45"/>
      <c r="J580" s="45"/>
      <c r="K580" s="45"/>
      <c r="L580" s="45"/>
    </row>
    <row r="581" customHeight="1" spans="1:12">
      <c r="A581" s="45"/>
      <c r="B581" s="60"/>
      <c r="D581" s="44"/>
      <c r="G581" s="45"/>
      <c r="H581" s="45"/>
      <c r="I581" s="45"/>
      <c r="J581" s="45"/>
      <c r="K581" s="45"/>
      <c r="L581" s="45"/>
    </row>
    <row r="582" customHeight="1" spans="1:12">
      <c r="A582" s="45"/>
      <c r="B582" s="60"/>
      <c r="D582" s="44"/>
      <c r="G582" s="45"/>
      <c r="H582" s="45"/>
      <c r="I582" s="45"/>
      <c r="J582" s="45"/>
      <c r="K582" s="45"/>
      <c r="L582" s="45"/>
    </row>
    <row r="583" customHeight="1" spans="1:12">
      <c r="A583" s="45"/>
      <c r="B583" s="60"/>
      <c r="D583" s="44"/>
      <c r="G583" s="45"/>
      <c r="H583" s="45"/>
      <c r="I583" s="45"/>
      <c r="J583" s="45"/>
      <c r="K583" s="45"/>
      <c r="L583" s="45"/>
    </row>
    <row r="584" customHeight="1" spans="1:12">
      <c r="A584" s="45"/>
      <c r="B584" s="60"/>
      <c r="D584" s="44"/>
      <c r="G584" s="45"/>
      <c r="H584" s="45"/>
      <c r="I584" s="45"/>
      <c r="J584" s="45"/>
      <c r="K584" s="45"/>
      <c r="L584" s="45"/>
    </row>
    <row r="585" customHeight="1" spans="1:12">
      <c r="A585" s="45"/>
      <c r="B585" s="60"/>
      <c r="D585" s="44"/>
      <c r="G585" s="45"/>
      <c r="H585" s="45"/>
      <c r="I585" s="45"/>
      <c r="J585" s="45"/>
      <c r="K585" s="45"/>
      <c r="L585" s="45"/>
    </row>
    <row r="586" customHeight="1" spans="1:12">
      <c r="A586" s="45"/>
      <c r="B586" s="60"/>
      <c r="D586" s="44"/>
      <c r="G586" s="45"/>
      <c r="H586" s="45"/>
      <c r="I586" s="45"/>
      <c r="J586" s="45"/>
      <c r="K586" s="45"/>
      <c r="L586" s="45"/>
    </row>
    <row r="587" customHeight="1" spans="1:12">
      <c r="A587" s="45"/>
      <c r="B587" s="60"/>
      <c r="D587" s="44"/>
      <c r="G587" s="45"/>
      <c r="H587" s="45"/>
      <c r="I587" s="45"/>
      <c r="J587" s="45"/>
      <c r="K587" s="45"/>
      <c r="L587" s="45"/>
    </row>
    <row r="588" customHeight="1" spans="1:12">
      <c r="A588" s="45"/>
      <c r="B588" s="60"/>
      <c r="D588" s="44"/>
      <c r="G588" s="45"/>
      <c r="H588" s="45"/>
      <c r="I588" s="45"/>
      <c r="J588" s="45"/>
      <c r="K588" s="45"/>
      <c r="L588" s="45"/>
    </row>
    <row r="589" customHeight="1" spans="1:12">
      <c r="A589" s="45"/>
      <c r="B589" s="60"/>
      <c r="D589" s="44"/>
      <c r="G589" s="45"/>
      <c r="H589" s="45"/>
      <c r="I589" s="45"/>
      <c r="J589" s="45"/>
      <c r="K589" s="45"/>
      <c r="L589" s="45"/>
    </row>
    <row r="590" customHeight="1" spans="1:12">
      <c r="A590" s="45"/>
      <c r="B590" s="60"/>
      <c r="D590" s="44"/>
      <c r="G590" s="45"/>
      <c r="H590" s="45"/>
      <c r="I590" s="45"/>
      <c r="J590" s="45"/>
      <c r="K590" s="45"/>
      <c r="L590" s="45"/>
    </row>
    <row r="591" customHeight="1" spans="1:12">
      <c r="A591" s="45"/>
      <c r="B591" s="60"/>
      <c r="D591" s="44"/>
      <c r="G591" s="45"/>
      <c r="H591" s="45"/>
      <c r="I591" s="45"/>
      <c r="J591" s="45"/>
      <c r="K591" s="45"/>
      <c r="L591" s="45"/>
    </row>
    <row r="592" customHeight="1" spans="1:12">
      <c r="A592" s="45"/>
      <c r="B592" s="60"/>
      <c r="D592" s="44"/>
      <c r="G592" s="45"/>
      <c r="H592" s="45"/>
      <c r="I592" s="45"/>
      <c r="J592" s="45"/>
      <c r="K592" s="45"/>
      <c r="L592" s="45"/>
    </row>
    <row r="593" customHeight="1" spans="1:12">
      <c r="A593" s="45"/>
      <c r="B593" s="60"/>
      <c r="D593" s="44"/>
      <c r="G593" s="45"/>
      <c r="H593" s="45"/>
      <c r="I593" s="45"/>
      <c r="J593" s="45"/>
      <c r="K593" s="45"/>
      <c r="L593" s="45"/>
    </row>
    <row r="594" customHeight="1" spans="1:12">
      <c r="A594" s="45"/>
      <c r="B594" s="60"/>
      <c r="D594" s="44"/>
      <c r="G594" s="45"/>
      <c r="H594" s="45"/>
      <c r="I594" s="45"/>
      <c r="J594" s="45"/>
      <c r="K594" s="45"/>
      <c r="L594" s="45"/>
    </row>
    <row r="595" customHeight="1" spans="1:12">
      <c r="A595" s="45"/>
      <c r="B595" s="60"/>
      <c r="D595" s="44"/>
      <c r="G595" s="45"/>
      <c r="H595" s="45"/>
      <c r="I595" s="45"/>
      <c r="J595" s="45"/>
      <c r="K595" s="45"/>
      <c r="L595" s="45"/>
    </row>
    <row r="596" customHeight="1" spans="1:12">
      <c r="A596" s="45"/>
      <c r="B596" s="60"/>
      <c r="D596" s="44"/>
      <c r="G596" s="45"/>
      <c r="H596" s="45"/>
      <c r="I596" s="45"/>
      <c r="J596" s="45"/>
      <c r="K596" s="45"/>
      <c r="L596" s="45"/>
    </row>
    <row r="597" customHeight="1" spans="1:12">
      <c r="A597" s="45"/>
      <c r="B597" s="60"/>
      <c r="D597" s="44"/>
      <c r="G597" s="45"/>
      <c r="H597" s="45"/>
      <c r="I597" s="45"/>
      <c r="J597" s="45"/>
      <c r="K597" s="45"/>
      <c r="L597" s="45"/>
    </row>
    <row r="598" customHeight="1" spans="1:12">
      <c r="A598" s="45"/>
      <c r="B598" s="60"/>
      <c r="D598" s="44"/>
      <c r="G598" s="45"/>
      <c r="H598" s="45"/>
      <c r="I598" s="45"/>
      <c r="J598" s="45"/>
      <c r="K598" s="45"/>
      <c r="L598" s="45"/>
    </row>
    <row r="599" customHeight="1" spans="1:12">
      <c r="A599" s="45"/>
      <c r="B599" s="60"/>
      <c r="D599" s="44"/>
      <c r="G599" s="45"/>
      <c r="H599" s="45"/>
      <c r="I599" s="45"/>
      <c r="J599" s="45"/>
      <c r="K599" s="45"/>
      <c r="L599" s="45"/>
    </row>
    <row r="600" customHeight="1" spans="1:12">
      <c r="A600" s="45"/>
      <c r="B600" s="60"/>
      <c r="D600" s="44"/>
      <c r="G600" s="45"/>
      <c r="H600" s="45"/>
      <c r="I600" s="45"/>
      <c r="J600" s="45"/>
      <c r="K600" s="45"/>
      <c r="L600" s="45"/>
    </row>
    <row r="601" customHeight="1" spans="1:12">
      <c r="A601" s="45"/>
      <c r="B601" s="60"/>
      <c r="D601" s="44"/>
      <c r="G601" s="45"/>
      <c r="H601" s="45"/>
      <c r="I601" s="45"/>
      <c r="J601" s="45"/>
      <c r="K601" s="45"/>
      <c r="L601" s="45"/>
    </row>
    <row r="602" customHeight="1" spans="1:12">
      <c r="A602" s="45"/>
      <c r="B602" s="60"/>
      <c r="D602" s="44"/>
      <c r="G602" s="45"/>
      <c r="H602" s="45"/>
      <c r="I602" s="45"/>
      <c r="J602" s="45"/>
      <c r="K602" s="45"/>
      <c r="L602" s="45"/>
    </row>
    <row r="603" customHeight="1" spans="1:12">
      <c r="A603" s="45"/>
      <c r="B603" s="60"/>
      <c r="D603" s="44"/>
      <c r="G603" s="45"/>
      <c r="H603" s="45"/>
      <c r="I603" s="45"/>
      <c r="J603" s="45"/>
      <c r="K603" s="45"/>
      <c r="L603" s="45"/>
    </row>
    <row r="604" customHeight="1" spans="1:12">
      <c r="A604" s="45"/>
      <c r="B604" s="60"/>
      <c r="D604" s="44"/>
      <c r="G604" s="45"/>
      <c r="H604" s="45"/>
      <c r="I604" s="45"/>
      <c r="J604" s="45"/>
      <c r="K604" s="45"/>
      <c r="L604" s="45"/>
    </row>
    <row r="605" customHeight="1" spans="1:12">
      <c r="A605" s="45"/>
      <c r="B605" s="60"/>
      <c r="D605" s="44"/>
      <c r="G605" s="45"/>
      <c r="H605" s="45"/>
      <c r="I605" s="45"/>
      <c r="J605" s="45"/>
      <c r="K605" s="45"/>
      <c r="L605" s="45"/>
    </row>
    <row r="606" customHeight="1" spans="1:12">
      <c r="A606" s="45"/>
      <c r="B606" s="60"/>
      <c r="D606" s="44"/>
      <c r="G606" s="45"/>
      <c r="H606" s="45"/>
      <c r="I606" s="45"/>
      <c r="J606" s="45"/>
      <c r="K606" s="45"/>
      <c r="L606" s="45"/>
    </row>
    <row r="607" customHeight="1" spans="1:12">
      <c r="A607" s="45"/>
      <c r="B607" s="60"/>
      <c r="D607" s="44"/>
      <c r="G607" s="45"/>
      <c r="H607" s="45"/>
      <c r="I607" s="45"/>
      <c r="J607" s="45"/>
      <c r="K607" s="45"/>
      <c r="L607" s="45"/>
    </row>
    <row r="608" customHeight="1" spans="1:12">
      <c r="A608" s="45"/>
      <c r="B608" s="60"/>
      <c r="D608" s="44"/>
      <c r="G608" s="45"/>
      <c r="H608" s="45"/>
      <c r="I608" s="45"/>
      <c r="J608" s="45"/>
      <c r="K608" s="45"/>
      <c r="L608" s="45"/>
    </row>
    <row r="609" customHeight="1" spans="1:12">
      <c r="A609" s="45"/>
      <c r="B609" s="60"/>
      <c r="D609" s="44"/>
      <c r="G609" s="45"/>
      <c r="H609" s="45"/>
      <c r="I609" s="45"/>
      <c r="J609" s="45"/>
      <c r="K609" s="45"/>
      <c r="L609" s="45"/>
    </row>
    <row r="610" customHeight="1" spans="1:12">
      <c r="A610" s="45"/>
      <c r="B610" s="60"/>
      <c r="D610" s="44"/>
      <c r="G610" s="45"/>
      <c r="H610" s="45"/>
      <c r="I610" s="45"/>
      <c r="J610" s="45"/>
      <c r="K610" s="45"/>
      <c r="L610" s="45"/>
    </row>
    <row r="611" customHeight="1" spans="1:12">
      <c r="A611" s="45"/>
      <c r="B611" s="60"/>
      <c r="D611" s="44"/>
      <c r="G611" s="45"/>
      <c r="H611" s="45"/>
      <c r="I611" s="45"/>
      <c r="J611" s="45"/>
      <c r="K611" s="45"/>
      <c r="L611" s="45"/>
    </row>
    <row r="612" customHeight="1" spans="1:12">
      <c r="A612" s="45"/>
      <c r="B612" s="60"/>
      <c r="D612" s="44"/>
      <c r="G612" s="45"/>
      <c r="H612" s="45"/>
      <c r="I612" s="45"/>
      <c r="J612" s="45"/>
      <c r="K612" s="45"/>
      <c r="L612" s="45"/>
    </row>
    <row r="613" customHeight="1" spans="1:12">
      <c r="A613" s="45"/>
      <c r="B613" s="60"/>
      <c r="D613" s="44"/>
      <c r="G613" s="45"/>
      <c r="H613" s="45"/>
      <c r="I613" s="45"/>
      <c r="J613" s="45"/>
      <c r="K613" s="45"/>
      <c r="L613" s="45"/>
    </row>
    <row r="614" customHeight="1" spans="1:12">
      <c r="A614" s="45"/>
      <c r="B614" s="60"/>
      <c r="D614" s="44"/>
      <c r="G614" s="45"/>
      <c r="H614" s="45"/>
      <c r="I614" s="45"/>
      <c r="J614" s="45"/>
      <c r="K614" s="45"/>
      <c r="L614" s="45"/>
    </row>
    <row r="615" customHeight="1" spans="1:12">
      <c r="A615" s="45"/>
      <c r="B615" s="60"/>
      <c r="D615" s="44"/>
      <c r="G615" s="45"/>
      <c r="H615" s="45"/>
      <c r="I615" s="45"/>
      <c r="J615" s="45"/>
      <c r="K615" s="45"/>
      <c r="L615" s="45"/>
    </row>
    <row r="616" customHeight="1" spans="1:12">
      <c r="A616" s="45"/>
      <c r="B616" s="60"/>
      <c r="D616" s="44"/>
      <c r="G616" s="45"/>
      <c r="H616" s="45"/>
      <c r="I616" s="45"/>
      <c r="J616" s="45"/>
      <c r="K616" s="45"/>
      <c r="L616" s="45"/>
    </row>
    <row r="617" customHeight="1" spans="1:12">
      <c r="A617" s="45"/>
      <c r="B617" s="60"/>
      <c r="D617" s="44"/>
      <c r="G617" s="45"/>
      <c r="H617" s="45"/>
      <c r="I617" s="45"/>
      <c r="J617" s="45"/>
      <c r="K617" s="45"/>
      <c r="L617" s="45"/>
    </row>
    <row r="618" customHeight="1" spans="1:12">
      <c r="A618" s="45"/>
      <c r="B618" s="60"/>
      <c r="D618" s="44"/>
      <c r="G618" s="45"/>
      <c r="H618" s="45"/>
      <c r="I618" s="45"/>
      <c r="J618" s="45"/>
      <c r="K618" s="45"/>
      <c r="L618" s="45"/>
    </row>
    <row r="619" customHeight="1" spans="1:12">
      <c r="A619" s="45"/>
      <c r="B619" s="60"/>
      <c r="D619" s="44"/>
      <c r="G619" s="45"/>
      <c r="H619" s="45"/>
      <c r="I619" s="45"/>
      <c r="J619" s="45"/>
      <c r="K619" s="45"/>
      <c r="L619" s="45"/>
    </row>
    <row r="620" customHeight="1" spans="1:12">
      <c r="A620" s="45"/>
      <c r="B620" s="60"/>
      <c r="D620" s="44"/>
      <c r="G620" s="45"/>
      <c r="H620" s="45"/>
      <c r="I620" s="45"/>
      <c r="J620" s="45"/>
      <c r="K620" s="45"/>
      <c r="L620" s="45"/>
    </row>
    <row r="621" customHeight="1" spans="1:12">
      <c r="A621" s="45"/>
      <c r="B621" s="60"/>
      <c r="D621" s="44"/>
      <c r="G621" s="45"/>
      <c r="H621" s="45"/>
      <c r="I621" s="45"/>
      <c r="J621" s="45"/>
      <c r="K621" s="45"/>
      <c r="L621" s="45"/>
    </row>
    <row r="622" customHeight="1" spans="1:12">
      <c r="A622" s="45"/>
      <c r="B622" s="60"/>
      <c r="D622" s="44"/>
      <c r="G622" s="45"/>
      <c r="H622" s="45"/>
      <c r="I622" s="45"/>
      <c r="J622" s="45"/>
      <c r="K622" s="45"/>
      <c r="L622" s="45"/>
    </row>
    <row r="623" customHeight="1" spans="1:12">
      <c r="A623" s="45"/>
      <c r="B623" s="60"/>
      <c r="D623" s="44"/>
      <c r="G623" s="45"/>
      <c r="H623" s="45"/>
      <c r="I623" s="45"/>
      <c r="J623" s="45"/>
      <c r="K623" s="45"/>
      <c r="L623" s="45"/>
    </row>
    <row r="624" customHeight="1" spans="1:12">
      <c r="A624" s="45"/>
      <c r="B624" s="60"/>
      <c r="D624" s="44"/>
      <c r="G624" s="45"/>
      <c r="H624" s="45"/>
      <c r="I624" s="45"/>
      <c r="J624" s="45"/>
      <c r="K624" s="45"/>
      <c r="L624" s="45"/>
    </row>
    <row r="625" customHeight="1" spans="1:12">
      <c r="A625" s="45"/>
      <c r="B625" s="60"/>
      <c r="D625" s="44"/>
      <c r="G625" s="45"/>
      <c r="H625" s="45"/>
      <c r="I625" s="45"/>
      <c r="J625" s="45"/>
      <c r="K625" s="45"/>
      <c r="L625" s="45"/>
    </row>
    <row r="626" customHeight="1" spans="1:12">
      <c r="A626" s="45"/>
      <c r="B626" s="60"/>
      <c r="D626" s="44"/>
      <c r="G626" s="45"/>
      <c r="H626" s="45"/>
      <c r="I626" s="45"/>
      <c r="J626" s="45"/>
      <c r="K626" s="45"/>
      <c r="L626" s="45"/>
    </row>
    <row r="627" customHeight="1" spans="1:12">
      <c r="A627" s="45"/>
      <c r="B627" s="60"/>
      <c r="D627" s="44"/>
      <c r="G627" s="45"/>
      <c r="H627" s="45"/>
      <c r="I627" s="45"/>
      <c r="J627" s="45"/>
      <c r="K627" s="45"/>
      <c r="L627" s="45"/>
    </row>
    <row r="628" customHeight="1" spans="1:12">
      <c r="A628" s="45"/>
      <c r="B628" s="60"/>
      <c r="D628" s="44"/>
      <c r="G628" s="45"/>
      <c r="H628" s="45"/>
      <c r="I628" s="45"/>
      <c r="J628" s="45"/>
      <c r="K628" s="45"/>
      <c r="L628" s="45"/>
    </row>
    <row r="629" customHeight="1" spans="1:12">
      <c r="A629" s="45"/>
      <c r="B629" s="60"/>
      <c r="D629" s="44"/>
      <c r="G629" s="45"/>
      <c r="H629" s="45"/>
      <c r="I629" s="45"/>
      <c r="J629" s="45"/>
      <c r="K629" s="45"/>
      <c r="L629" s="45"/>
    </row>
    <row r="630" customHeight="1" spans="1:12">
      <c r="A630" s="45"/>
      <c r="B630" s="60"/>
      <c r="D630" s="44"/>
      <c r="G630" s="45"/>
      <c r="H630" s="45"/>
      <c r="I630" s="45"/>
      <c r="J630" s="45"/>
      <c r="K630" s="45"/>
      <c r="L630" s="45"/>
    </row>
    <row r="631" customHeight="1" spans="1:12">
      <c r="A631" s="45"/>
      <c r="B631" s="60"/>
      <c r="D631" s="44"/>
      <c r="G631" s="45"/>
      <c r="H631" s="45"/>
      <c r="I631" s="45"/>
      <c r="J631" s="45"/>
      <c r="K631" s="45"/>
      <c r="L631" s="45"/>
    </row>
    <row r="632" customHeight="1" spans="1:12">
      <c r="A632" s="45"/>
      <c r="B632" s="60"/>
      <c r="D632" s="44"/>
      <c r="G632" s="45"/>
      <c r="H632" s="45"/>
      <c r="I632" s="45"/>
      <c r="J632" s="45"/>
      <c r="K632" s="45"/>
      <c r="L632" s="45"/>
    </row>
    <row r="633" customHeight="1" spans="1:12">
      <c r="A633" s="45"/>
      <c r="B633" s="60"/>
      <c r="D633" s="44"/>
      <c r="G633" s="45"/>
      <c r="H633" s="45"/>
      <c r="I633" s="45"/>
      <c r="J633" s="45"/>
      <c r="K633" s="45"/>
      <c r="L633" s="45"/>
    </row>
    <row r="634" customHeight="1" spans="1:12">
      <c r="A634" s="45"/>
      <c r="B634" s="60"/>
      <c r="D634" s="44"/>
      <c r="G634" s="45"/>
      <c r="H634" s="45"/>
      <c r="I634" s="45"/>
      <c r="J634" s="45"/>
      <c r="K634" s="45"/>
      <c r="L634" s="45"/>
    </row>
    <row r="635" customHeight="1" spans="1:12">
      <c r="A635" s="45"/>
      <c r="B635" s="60"/>
      <c r="D635" s="44"/>
      <c r="G635" s="45"/>
      <c r="H635" s="45"/>
      <c r="I635" s="45"/>
      <c r="J635" s="45"/>
      <c r="K635" s="45"/>
      <c r="L635" s="45"/>
    </row>
    <row r="636" customHeight="1" spans="1:12">
      <c r="A636" s="45"/>
      <c r="B636" s="60"/>
      <c r="D636" s="44"/>
      <c r="G636" s="45"/>
      <c r="H636" s="45"/>
      <c r="I636" s="45"/>
      <c r="J636" s="45"/>
      <c r="K636" s="45"/>
      <c r="L636" s="45"/>
    </row>
    <row r="637" customHeight="1" spans="1:12">
      <c r="A637" s="45"/>
      <c r="B637" s="60"/>
      <c r="D637" s="44"/>
      <c r="G637" s="45"/>
      <c r="H637" s="45"/>
      <c r="I637" s="45"/>
      <c r="J637" s="45"/>
      <c r="K637" s="45"/>
      <c r="L637" s="45"/>
    </row>
    <row r="638" customHeight="1" spans="1:12">
      <c r="A638" s="45"/>
      <c r="B638" s="60"/>
      <c r="D638" s="44"/>
      <c r="G638" s="45"/>
      <c r="H638" s="45"/>
      <c r="I638" s="45"/>
      <c r="J638" s="45"/>
      <c r="K638" s="45"/>
      <c r="L638" s="45"/>
    </row>
    <row r="639" customHeight="1" spans="1:12">
      <c r="A639" s="45"/>
      <c r="B639" s="60"/>
      <c r="D639" s="44"/>
      <c r="G639" s="45"/>
      <c r="H639" s="45"/>
      <c r="I639" s="45"/>
      <c r="J639" s="45"/>
      <c r="K639" s="45"/>
      <c r="L639" s="45"/>
    </row>
    <row r="640" customHeight="1" spans="1:12">
      <c r="A640" s="45"/>
      <c r="B640" s="60"/>
      <c r="D640" s="44"/>
      <c r="G640" s="45"/>
      <c r="H640" s="45"/>
      <c r="I640" s="45"/>
      <c r="J640" s="45"/>
      <c r="K640" s="45"/>
      <c r="L640" s="45"/>
    </row>
    <row r="641" customHeight="1" spans="1:12">
      <c r="A641" s="45"/>
      <c r="B641" s="60"/>
      <c r="D641" s="44"/>
      <c r="G641" s="45"/>
      <c r="H641" s="45"/>
      <c r="I641" s="45"/>
      <c r="J641" s="45"/>
      <c r="K641" s="45"/>
      <c r="L641" s="45"/>
    </row>
    <row r="642" customHeight="1" spans="1:12">
      <c r="A642" s="45"/>
      <c r="B642" s="60"/>
      <c r="D642" s="44"/>
      <c r="G642" s="45"/>
      <c r="H642" s="45"/>
      <c r="I642" s="45"/>
      <c r="J642" s="45"/>
      <c r="K642" s="45"/>
      <c r="L642" s="45"/>
    </row>
    <row r="643" customHeight="1" spans="1:12">
      <c r="A643" s="45"/>
      <c r="B643" s="60"/>
      <c r="D643" s="44"/>
      <c r="G643" s="45"/>
      <c r="H643" s="45"/>
      <c r="I643" s="45"/>
      <c r="J643" s="45"/>
      <c r="K643" s="45"/>
      <c r="L643" s="45"/>
    </row>
    <row r="644" customHeight="1" spans="1:12">
      <c r="A644" s="45"/>
      <c r="B644" s="60"/>
      <c r="D644" s="44"/>
      <c r="G644" s="45"/>
      <c r="H644" s="45"/>
      <c r="I644" s="45"/>
      <c r="J644" s="45"/>
      <c r="K644" s="45"/>
      <c r="L644" s="45"/>
    </row>
    <row r="645" customHeight="1" spans="1:12">
      <c r="A645" s="45"/>
      <c r="B645" s="60"/>
      <c r="D645" s="44"/>
      <c r="G645" s="45"/>
      <c r="H645" s="45"/>
      <c r="I645" s="45"/>
      <c r="J645" s="45"/>
      <c r="K645" s="45"/>
      <c r="L645" s="45"/>
    </row>
    <row r="646" customHeight="1" spans="1:12">
      <c r="A646" s="45"/>
      <c r="B646" s="60"/>
      <c r="D646" s="44"/>
      <c r="G646" s="45"/>
      <c r="H646" s="45"/>
      <c r="I646" s="45"/>
      <c r="J646" s="45"/>
      <c r="K646" s="45"/>
      <c r="L646" s="45"/>
    </row>
    <row r="647" customHeight="1" spans="1:12">
      <c r="A647" s="45"/>
      <c r="B647" s="60"/>
      <c r="D647" s="44"/>
      <c r="G647" s="45"/>
      <c r="H647" s="45"/>
      <c r="I647" s="45"/>
      <c r="J647" s="45"/>
      <c r="K647" s="45"/>
      <c r="L647" s="45"/>
    </row>
    <row r="648" customHeight="1" spans="1:12">
      <c r="A648" s="45"/>
      <c r="B648" s="60"/>
      <c r="D648" s="44"/>
      <c r="G648" s="45"/>
      <c r="H648" s="45"/>
      <c r="I648" s="45"/>
      <c r="J648" s="45"/>
      <c r="K648" s="45"/>
      <c r="L648" s="45"/>
    </row>
    <row r="649" customHeight="1" spans="1:12">
      <c r="A649" s="45"/>
      <c r="B649" s="60"/>
      <c r="D649" s="44"/>
      <c r="G649" s="45"/>
      <c r="H649" s="45"/>
      <c r="I649" s="45"/>
      <c r="J649" s="45"/>
      <c r="K649" s="45"/>
      <c r="L649" s="45"/>
    </row>
    <row r="650" customHeight="1" spans="1:12">
      <c r="A650" s="45"/>
      <c r="B650" s="60"/>
      <c r="D650" s="44"/>
      <c r="G650" s="45"/>
      <c r="H650" s="45"/>
      <c r="I650" s="45"/>
      <c r="J650" s="45"/>
      <c r="K650" s="45"/>
      <c r="L650" s="45"/>
    </row>
    <row r="651" customHeight="1" spans="1:12">
      <c r="A651" s="45"/>
      <c r="B651" s="60"/>
      <c r="D651" s="44"/>
      <c r="G651" s="45"/>
      <c r="H651" s="45"/>
      <c r="I651" s="45"/>
      <c r="J651" s="45"/>
      <c r="K651" s="45"/>
      <c r="L651" s="45"/>
    </row>
    <row r="652" customHeight="1" spans="1:12">
      <c r="A652" s="45"/>
      <c r="B652" s="60"/>
      <c r="D652" s="44"/>
      <c r="G652" s="45"/>
      <c r="H652" s="45"/>
      <c r="I652" s="45"/>
      <c r="J652" s="45"/>
      <c r="K652" s="45"/>
      <c r="L652" s="45"/>
    </row>
    <row r="653" customHeight="1" spans="1:12">
      <c r="A653" s="45"/>
      <c r="B653" s="60"/>
      <c r="D653" s="44"/>
      <c r="G653" s="45"/>
      <c r="H653" s="45"/>
      <c r="I653" s="45"/>
      <c r="J653" s="45"/>
      <c r="K653" s="45"/>
      <c r="L653" s="45"/>
    </row>
    <row r="654" customHeight="1" spans="1:12">
      <c r="A654" s="45"/>
      <c r="B654" s="60"/>
      <c r="D654" s="44"/>
      <c r="G654" s="45"/>
      <c r="H654" s="45"/>
      <c r="I654" s="45"/>
      <c r="J654" s="45"/>
      <c r="K654" s="45"/>
      <c r="L654" s="45"/>
    </row>
    <row r="655" customHeight="1" spans="1:12">
      <c r="A655" s="45"/>
      <c r="B655" s="60"/>
      <c r="D655" s="44"/>
      <c r="G655" s="45"/>
      <c r="H655" s="45"/>
      <c r="I655" s="45"/>
      <c r="J655" s="45"/>
      <c r="K655" s="45"/>
      <c r="L655" s="45"/>
    </row>
    <row r="656" customHeight="1" spans="1:12">
      <c r="A656" s="45"/>
      <c r="B656" s="60"/>
      <c r="D656" s="44"/>
      <c r="G656" s="45"/>
      <c r="H656" s="45"/>
      <c r="I656" s="45"/>
      <c r="J656" s="45"/>
      <c r="K656" s="45"/>
      <c r="L656" s="45"/>
    </row>
    <row r="657" customHeight="1" spans="1:12">
      <c r="A657" s="45"/>
      <c r="B657" s="60"/>
      <c r="D657" s="44"/>
      <c r="G657" s="45"/>
      <c r="H657" s="45"/>
      <c r="I657" s="45"/>
      <c r="J657" s="45"/>
      <c r="K657" s="45"/>
      <c r="L657" s="45"/>
    </row>
    <row r="658" customHeight="1" spans="1:12">
      <c r="A658" s="45"/>
      <c r="B658" s="60"/>
      <c r="D658" s="44"/>
      <c r="G658" s="45"/>
      <c r="H658" s="45"/>
      <c r="I658" s="45"/>
      <c r="J658" s="45"/>
      <c r="K658" s="45"/>
      <c r="L658" s="45"/>
    </row>
    <row r="659" customHeight="1" spans="1:12">
      <c r="A659" s="45"/>
      <c r="B659" s="60"/>
      <c r="D659" s="44"/>
      <c r="G659" s="45"/>
      <c r="H659" s="45"/>
      <c r="I659" s="45"/>
      <c r="J659" s="45"/>
      <c r="K659" s="45"/>
      <c r="L659" s="45"/>
    </row>
    <row r="660" customHeight="1" spans="1:12">
      <c r="A660" s="45"/>
      <c r="B660" s="60"/>
      <c r="D660" s="44"/>
      <c r="G660" s="45"/>
      <c r="H660" s="45"/>
      <c r="I660" s="45"/>
      <c r="J660" s="45"/>
      <c r="K660" s="45"/>
      <c r="L660" s="45"/>
    </row>
    <row r="661" customHeight="1" spans="1:12">
      <c r="A661" s="45"/>
      <c r="B661" s="60"/>
      <c r="D661" s="44"/>
      <c r="G661" s="45"/>
      <c r="H661" s="45"/>
      <c r="I661" s="45"/>
      <c r="J661" s="45"/>
      <c r="K661" s="45"/>
      <c r="L661" s="45"/>
    </row>
    <row r="662" customHeight="1" spans="1:12">
      <c r="A662" s="45"/>
      <c r="B662" s="60"/>
      <c r="D662" s="44"/>
      <c r="G662" s="45"/>
      <c r="H662" s="45"/>
      <c r="I662" s="45"/>
      <c r="J662" s="45"/>
      <c r="K662" s="45"/>
      <c r="L662" s="45"/>
    </row>
    <row r="663" customHeight="1" spans="1:12">
      <c r="A663" s="45"/>
      <c r="B663" s="60"/>
      <c r="D663" s="44"/>
      <c r="G663" s="45"/>
      <c r="H663" s="45"/>
      <c r="I663" s="45"/>
      <c r="J663" s="45"/>
      <c r="K663" s="45"/>
      <c r="L663" s="45"/>
    </row>
    <row r="664" customHeight="1" spans="1:12">
      <c r="A664" s="45"/>
      <c r="B664" s="60"/>
      <c r="D664" s="44"/>
      <c r="G664" s="45"/>
      <c r="H664" s="45"/>
      <c r="I664" s="45"/>
      <c r="J664" s="45"/>
      <c r="K664" s="45"/>
      <c r="L664" s="45"/>
    </row>
    <row r="665" customHeight="1" spans="1:12">
      <c r="A665" s="45"/>
      <c r="B665" s="60"/>
      <c r="D665" s="44"/>
      <c r="G665" s="45"/>
      <c r="H665" s="45"/>
      <c r="I665" s="45"/>
      <c r="J665" s="45"/>
      <c r="K665" s="45"/>
      <c r="L665" s="45"/>
    </row>
    <row r="666" customHeight="1" spans="1:12">
      <c r="A666" s="45"/>
      <c r="B666" s="60"/>
      <c r="D666" s="44"/>
      <c r="G666" s="45"/>
      <c r="H666" s="45"/>
      <c r="I666" s="45"/>
      <c r="J666" s="45"/>
      <c r="K666" s="45"/>
      <c r="L666" s="45"/>
    </row>
    <row r="667" customHeight="1" spans="1:12">
      <c r="A667" s="45"/>
      <c r="B667" s="60"/>
      <c r="D667" s="44"/>
      <c r="G667" s="45"/>
      <c r="H667" s="45"/>
      <c r="I667" s="45"/>
      <c r="J667" s="45"/>
      <c r="K667" s="45"/>
      <c r="L667" s="45"/>
    </row>
    <row r="668" customHeight="1" spans="1:12">
      <c r="A668" s="45"/>
      <c r="B668" s="60"/>
      <c r="D668" s="44"/>
      <c r="G668" s="45"/>
      <c r="H668" s="45"/>
      <c r="I668" s="45"/>
      <c r="J668" s="45"/>
      <c r="K668" s="45"/>
      <c r="L668" s="45"/>
    </row>
    <row r="669" customHeight="1" spans="1:12">
      <c r="A669" s="45"/>
      <c r="B669" s="60"/>
      <c r="D669" s="44"/>
      <c r="G669" s="45"/>
      <c r="H669" s="45"/>
      <c r="I669" s="45"/>
      <c r="J669" s="45"/>
      <c r="K669" s="45"/>
      <c r="L669" s="45"/>
    </row>
    <row r="670" customHeight="1" spans="1:12">
      <c r="A670" s="45"/>
      <c r="B670" s="60"/>
      <c r="D670" s="44"/>
      <c r="G670" s="45"/>
      <c r="H670" s="45"/>
      <c r="I670" s="45"/>
      <c r="J670" s="45"/>
      <c r="K670" s="45"/>
      <c r="L670" s="45"/>
    </row>
    <row r="671" customHeight="1" spans="1:12">
      <c r="A671" s="45"/>
      <c r="B671" s="60"/>
      <c r="D671" s="44"/>
      <c r="G671" s="45"/>
      <c r="H671" s="45"/>
      <c r="I671" s="45"/>
      <c r="J671" s="45"/>
      <c r="K671" s="45"/>
      <c r="L671" s="45"/>
    </row>
    <row r="672" customHeight="1" spans="1:12">
      <c r="A672" s="45"/>
      <c r="B672" s="60"/>
      <c r="D672" s="44"/>
      <c r="G672" s="45"/>
      <c r="H672" s="45"/>
      <c r="I672" s="45"/>
      <c r="J672" s="45"/>
      <c r="K672" s="45"/>
      <c r="L672" s="45"/>
    </row>
    <row r="673" customHeight="1" spans="1:12">
      <c r="A673" s="45"/>
      <c r="B673" s="60"/>
      <c r="D673" s="44"/>
      <c r="G673" s="45"/>
      <c r="H673" s="45"/>
      <c r="I673" s="45"/>
      <c r="J673" s="45"/>
      <c r="K673" s="45"/>
      <c r="L673" s="45"/>
    </row>
    <row r="674" customHeight="1" spans="1:12">
      <c r="A674" s="45"/>
      <c r="B674" s="60"/>
      <c r="D674" s="44"/>
      <c r="G674" s="45"/>
      <c r="H674" s="45"/>
      <c r="I674" s="45"/>
      <c r="J674" s="45"/>
      <c r="K674" s="45"/>
      <c r="L674" s="45"/>
    </row>
    <row r="675" customHeight="1" spans="1:12">
      <c r="A675" s="45"/>
      <c r="B675" s="60"/>
      <c r="D675" s="44"/>
      <c r="G675" s="45"/>
      <c r="H675" s="45"/>
      <c r="I675" s="45"/>
      <c r="J675" s="45"/>
      <c r="K675" s="45"/>
      <c r="L675" s="45"/>
    </row>
    <row r="676" customHeight="1" spans="1:12">
      <c r="A676" s="45"/>
      <c r="B676" s="60"/>
      <c r="D676" s="44"/>
      <c r="G676" s="45"/>
      <c r="H676" s="45"/>
      <c r="I676" s="45"/>
      <c r="J676" s="45"/>
      <c r="K676" s="45"/>
      <c r="L676" s="45"/>
    </row>
    <row r="677" customHeight="1" spans="1:12">
      <c r="A677" s="45"/>
      <c r="B677" s="60"/>
      <c r="D677" s="44"/>
      <c r="G677" s="45"/>
      <c r="H677" s="45"/>
      <c r="I677" s="45"/>
      <c r="J677" s="45"/>
      <c r="K677" s="45"/>
      <c r="L677" s="45"/>
    </row>
    <row r="678" customHeight="1" spans="1:12">
      <c r="A678" s="45"/>
      <c r="B678" s="60"/>
      <c r="D678" s="44"/>
      <c r="G678" s="45"/>
      <c r="H678" s="45"/>
      <c r="I678" s="45"/>
      <c r="J678" s="45"/>
      <c r="K678" s="45"/>
      <c r="L678" s="45"/>
    </row>
    <row r="679" customHeight="1" spans="1:12">
      <c r="A679" s="45"/>
      <c r="B679" s="60"/>
      <c r="D679" s="44"/>
      <c r="G679" s="45"/>
      <c r="H679" s="45"/>
      <c r="I679" s="45"/>
      <c r="J679" s="45"/>
      <c r="K679" s="45"/>
      <c r="L679" s="45"/>
    </row>
    <row r="680" customHeight="1" spans="1:12">
      <c r="A680" s="45"/>
      <c r="B680" s="60"/>
      <c r="D680" s="44"/>
      <c r="G680" s="45"/>
      <c r="H680" s="45"/>
      <c r="I680" s="45"/>
      <c r="J680" s="45"/>
      <c r="K680" s="45"/>
      <c r="L680" s="45"/>
    </row>
    <row r="681" customHeight="1" spans="1:12">
      <c r="A681" s="45"/>
      <c r="B681" s="60"/>
      <c r="D681" s="44"/>
      <c r="G681" s="45"/>
      <c r="H681" s="45"/>
      <c r="I681" s="45"/>
      <c r="J681" s="45"/>
      <c r="K681" s="45"/>
      <c r="L681" s="45"/>
    </row>
    <row r="682" customHeight="1" spans="1:12">
      <c r="A682" s="45"/>
      <c r="B682" s="60"/>
      <c r="D682" s="44"/>
      <c r="G682" s="45"/>
      <c r="H682" s="45"/>
      <c r="I682" s="45"/>
      <c r="J682" s="45"/>
      <c r="K682" s="45"/>
      <c r="L682" s="45"/>
    </row>
    <row r="683" customHeight="1" spans="1:12">
      <c r="A683" s="45"/>
      <c r="B683" s="60"/>
      <c r="D683" s="44"/>
      <c r="G683" s="45"/>
      <c r="H683" s="45"/>
      <c r="I683" s="45"/>
      <c r="J683" s="45"/>
      <c r="K683" s="45"/>
      <c r="L683" s="45"/>
    </row>
    <row r="684" customHeight="1" spans="1:12">
      <c r="A684" s="45"/>
      <c r="B684" s="60"/>
      <c r="D684" s="44"/>
      <c r="G684" s="45"/>
      <c r="H684" s="45"/>
      <c r="I684" s="45"/>
      <c r="J684" s="45"/>
      <c r="K684" s="45"/>
      <c r="L684" s="45"/>
    </row>
    <row r="685" customHeight="1" spans="1:12">
      <c r="A685" s="45"/>
      <c r="B685" s="60"/>
      <c r="D685" s="44"/>
      <c r="G685" s="45"/>
      <c r="H685" s="45"/>
      <c r="I685" s="45"/>
      <c r="J685" s="45"/>
      <c r="K685" s="45"/>
      <c r="L685" s="45"/>
    </row>
    <row r="686" customHeight="1" spans="1:12">
      <c r="A686" s="45"/>
      <c r="B686" s="60"/>
      <c r="D686" s="44"/>
      <c r="G686" s="45"/>
      <c r="H686" s="45"/>
      <c r="I686" s="45"/>
      <c r="J686" s="45"/>
      <c r="K686" s="45"/>
      <c r="L686" s="45"/>
    </row>
    <row r="687" customHeight="1" spans="1:12">
      <c r="A687" s="45"/>
      <c r="B687" s="60"/>
      <c r="D687" s="44"/>
      <c r="G687" s="45"/>
      <c r="H687" s="45"/>
      <c r="I687" s="45"/>
      <c r="J687" s="45"/>
      <c r="K687" s="45"/>
      <c r="L687" s="45"/>
    </row>
    <row r="688" customHeight="1" spans="1:12">
      <c r="A688" s="45"/>
      <c r="B688" s="60"/>
      <c r="D688" s="44"/>
      <c r="G688" s="45"/>
      <c r="H688" s="45"/>
      <c r="I688" s="45"/>
      <c r="J688" s="45"/>
      <c r="K688" s="45"/>
      <c r="L688" s="45"/>
    </row>
    <row r="689" customHeight="1" spans="1:12">
      <c r="A689" s="45"/>
      <c r="B689" s="60"/>
      <c r="D689" s="44"/>
      <c r="G689" s="45"/>
      <c r="H689" s="45"/>
      <c r="I689" s="45"/>
      <c r="J689" s="45"/>
      <c r="K689" s="45"/>
      <c r="L689" s="45"/>
    </row>
    <row r="690" customHeight="1" spans="1:12">
      <c r="A690" s="45"/>
      <c r="B690" s="60"/>
      <c r="D690" s="44"/>
      <c r="G690" s="45"/>
      <c r="H690" s="45"/>
      <c r="I690" s="45"/>
      <c r="J690" s="45"/>
      <c r="K690" s="45"/>
      <c r="L690" s="45"/>
    </row>
    <row r="691" customHeight="1" spans="1:12">
      <c r="A691" s="45"/>
      <c r="B691" s="60"/>
      <c r="D691" s="44"/>
      <c r="G691" s="45"/>
      <c r="H691" s="45"/>
      <c r="I691" s="45"/>
      <c r="J691" s="45"/>
      <c r="K691" s="45"/>
      <c r="L691" s="45"/>
    </row>
    <row r="692" customHeight="1" spans="1:12">
      <c r="A692" s="45"/>
      <c r="B692" s="60"/>
      <c r="D692" s="44"/>
      <c r="G692" s="45"/>
      <c r="H692" s="45"/>
      <c r="I692" s="45"/>
      <c r="J692" s="45"/>
      <c r="K692" s="45"/>
      <c r="L692" s="45"/>
    </row>
    <row r="693" customHeight="1" spans="1:12">
      <c r="A693" s="45"/>
      <c r="B693" s="60"/>
      <c r="D693" s="44"/>
      <c r="G693" s="45"/>
      <c r="H693" s="45"/>
      <c r="I693" s="45"/>
      <c r="J693" s="45"/>
      <c r="K693" s="45"/>
      <c r="L693" s="45"/>
    </row>
    <row r="694" customHeight="1" spans="1:12">
      <c r="A694" s="45"/>
      <c r="B694" s="60"/>
      <c r="D694" s="44"/>
      <c r="G694" s="45"/>
      <c r="H694" s="45"/>
      <c r="I694" s="45"/>
      <c r="J694" s="45"/>
      <c r="K694" s="45"/>
      <c r="L694" s="45"/>
    </row>
    <row r="695" customHeight="1" spans="1:12">
      <c r="A695" s="45"/>
      <c r="B695" s="60"/>
      <c r="D695" s="44"/>
      <c r="G695" s="45"/>
      <c r="H695" s="45"/>
      <c r="I695" s="45"/>
      <c r="J695" s="45"/>
      <c r="K695" s="45"/>
      <c r="L695" s="45"/>
    </row>
    <row r="696" customHeight="1" spans="1:12">
      <c r="A696" s="45"/>
      <c r="B696" s="60"/>
      <c r="D696" s="44"/>
      <c r="G696" s="45"/>
      <c r="H696" s="45"/>
      <c r="I696" s="45"/>
      <c r="J696" s="45"/>
      <c r="K696" s="45"/>
      <c r="L696" s="45"/>
    </row>
    <row r="697" customHeight="1" spans="1:12">
      <c r="A697" s="45"/>
      <c r="B697" s="60"/>
      <c r="D697" s="44"/>
      <c r="G697" s="45"/>
      <c r="H697" s="45"/>
      <c r="I697" s="45"/>
      <c r="J697" s="45"/>
      <c r="K697" s="45"/>
      <c r="L697" s="45"/>
    </row>
    <row r="698" customHeight="1" spans="1:12">
      <c r="A698" s="45"/>
      <c r="B698" s="60"/>
      <c r="D698" s="44"/>
      <c r="G698" s="45"/>
      <c r="H698" s="45"/>
      <c r="I698" s="45"/>
      <c r="J698" s="45"/>
      <c r="K698" s="45"/>
      <c r="L698" s="45"/>
    </row>
    <row r="699" customHeight="1" spans="1:12">
      <c r="A699" s="45"/>
      <c r="B699" s="60"/>
      <c r="D699" s="44"/>
      <c r="G699" s="45"/>
      <c r="H699" s="45"/>
      <c r="I699" s="45"/>
      <c r="J699" s="45"/>
      <c r="K699" s="45"/>
      <c r="L699" s="45"/>
    </row>
    <row r="700" customHeight="1" spans="1:12">
      <c r="A700" s="45"/>
      <c r="B700" s="60"/>
      <c r="D700" s="44"/>
      <c r="G700" s="45"/>
      <c r="H700" s="45"/>
      <c r="I700" s="45"/>
      <c r="J700" s="45"/>
      <c r="K700" s="45"/>
      <c r="L700" s="45"/>
    </row>
    <row r="701" customHeight="1" spans="1:12">
      <c r="A701" s="45"/>
      <c r="B701" s="60"/>
      <c r="D701" s="44"/>
      <c r="G701" s="45"/>
      <c r="H701" s="45"/>
      <c r="I701" s="45"/>
      <c r="J701" s="45"/>
      <c r="K701" s="45"/>
      <c r="L701" s="45"/>
    </row>
    <row r="702" customHeight="1" spans="1:12">
      <c r="A702" s="45"/>
      <c r="B702" s="60"/>
      <c r="D702" s="44"/>
      <c r="G702" s="45"/>
      <c r="H702" s="45"/>
      <c r="I702" s="45"/>
      <c r="J702" s="45"/>
      <c r="K702" s="45"/>
      <c r="L702" s="45"/>
    </row>
    <row r="703" customHeight="1" spans="1:12">
      <c r="A703" s="45"/>
      <c r="B703" s="60"/>
      <c r="D703" s="44"/>
      <c r="G703" s="45"/>
      <c r="H703" s="45"/>
      <c r="I703" s="45"/>
      <c r="J703" s="45"/>
      <c r="K703" s="45"/>
      <c r="L703" s="45"/>
    </row>
    <row r="704" customHeight="1" spans="1:12">
      <c r="A704" s="45"/>
      <c r="B704" s="60"/>
      <c r="D704" s="44"/>
      <c r="G704" s="45"/>
      <c r="H704" s="45"/>
      <c r="I704" s="45"/>
      <c r="J704" s="45"/>
      <c r="K704" s="45"/>
      <c r="L704" s="45"/>
    </row>
    <row r="705" customHeight="1" spans="1:12">
      <c r="A705" s="45"/>
      <c r="B705" s="60"/>
      <c r="D705" s="44"/>
      <c r="G705" s="45"/>
      <c r="H705" s="45"/>
      <c r="I705" s="45"/>
      <c r="J705" s="45"/>
      <c r="K705" s="45"/>
      <c r="L705" s="45"/>
    </row>
    <row r="706" customHeight="1" spans="1:12">
      <c r="A706" s="45"/>
      <c r="B706" s="60"/>
      <c r="D706" s="44"/>
      <c r="G706" s="45"/>
      <c r="H706" s="45"/>
      <c r="I706" s="45"/>
      <c r="J706" s="45"/>
      <c r="K706" s="45"/>
      <c r="L706" s="45"/>
    </row>
    <row r="707" customHeight="1" spans="1:12">
      <c r="A707" s="45"/>
      <c r="B707" s="60"/>
      <c r="D707" s="44"/>
      <c r="G707" s="45"/>
      <c r="H707" s="45"/>
      <c r="I707" s="45"/>
      <c r="J707" s="45"/>
      <c r="K707" s="45"/>
      <c r="L707" s="45"/>
    </row>
    <row r="708" customHeight="1" spans="1:12">
      <c r="A708" s="45"/>
      <c r="B708" s="60"/>
      <c r="D708" s="44"/>
      <c r="G708" s="45"/>
      <c r="H708" s="45"/>
      <c r="I708" s="45"/>
      <c r="J708" s="45"/>
      <c r="K708" s="45"/>
      <c r="L708" s="45"/>
    </row>
    <row r="709" customHeight="1" spans="1:12">
      <c r="A709" s="45"/>
      <c r="B709" s="60"/>
      <c r="D709" s="44"/>
      <c r="G709" s="45"/>
      <c r="H709" s="45"/>
      <c r="I709" s="45"/>
      <c r="J709" s="45"/>
      <c r="K709" s="45"/>
      <c r="L709" s="45"/>
    </row>
    <row r="710" customHeight="1" spans="1:12">
      <c r="A710" s="45"/>
      <c r="B710" s="60"/>
      <c r="D710" s="44"/>
      <c r="G710" s="45"/>
      <c r="H710" s="45"/>
      <c r="I710" s="45"/>
      <c r="J710" s="45"/>
      <c r="K710" s="45"/>
      <c r="L710" s="45"/>
    </row>
    <row r="711" customHeight="1" spans="1:12">
      <c r="A711" s="45"/>
      <c r="B711" s="60"/>
      <c r="D711" s="44"/>
      <c r="G711" s="45"/>
      <c r="H711" s="45"/>
      <c r="I711" s="45"/>
      <c r="J711" s="45"/>
      <c r="K711" s="45"/>
      <c r="L711" s="45"/>
    </row>
    <row r="712" customHeight="1" spans="1:12">
      <c r="A712" s="45"/>
      <c r="B712" s="60"/>
      <c r="D712" s="44"/>
      <c r="G712" s="45"/>
      <c r="H712" s="45"/>
      <c r="I712" s="45"/>
      <c r="J712" s="45"/>
      <c r="K712" s="45"/>
      <c r="L712" s="45"/>
    </row>
    <row r="713" customHeight="1" spans="1:12">
      <c r="A713" s="45"/>
      <c r="B713" s="60"/>
      <c r="D713" s="44"/>
      <c r="G713" s="45"/>
      <c r="H713" s="45"/>
      <c r="I713" s="45"/>
      <c r="J713" s="45"/>
      <c r="K713" s="45"/>
      <c r="L713" s="45"/>
    </row>
    <row r="714" customHeight="1" spans="1:12">
      <c r="A714" s="45"/>
      <c r="B714" s="60"/>
      <c r="D714" s="44"/>
      <c r="G714" s="45"/>
      <c r="H714" s="45"/>
      <c r="I714" s="45"/>
      <c r="J714" s="45"/>
      <c r="K714" s="45"/>
      <c r="L714" s="45"/>
    </row>
    <row r="715" customHeight="1" spans="1:12">
      <c r="A715" s="45"/>
      <c r="B715" s="60"/>
      <c r="D715" s="44"/>
      <c r="G715" s="45"/>
      <c r="H715" s="45"/>
      <c r="I715" s="45"/>
      <c r="J715" s="45"/>
      <c r="K715" s="45"/>
      <c r="L715" s="45"/>
    </row>
    <row r="716" customHeight="1" spans="1:12">
      <c r="A716" s="45"/>
      <c r="B716" s="60"/>
      <c r="D716" s="44"/>
      <c r="G716" s="45"/>
      <c r="H716" s="45"/>
      <c r="I716" s="45"/>
      <c r="J716" s="45"/>
      <c r="K716" s="45"/>
      <c r="L716" s="45"/>
    </row>
    <row r="717" customHeight="1" spans="1:12">
      <c r="A717" s="45"/>
      <c r="B717" s="60"/>
      <c r="D717" s="44"/>
      <c r="G717" s="45"/>
      <c r="H717" s="45"/>
      <c r="I717" s="45"/>
      <c r="J717" s="45"/>
      <c r="K717" s="45"/>
      <c r="L717" s="45"/>
    </row>
    <row r="718" customHeight="1" spans="1:12">
      <c r="A718" s="45"/>
      <c r="B718" s="60"/>
      <c r="D718" s="44"/>
      <c r="G718" s="45"/>
      <c r="H718" s="45"/>
      <c r="I718" s="45"/>
      <c r="J718" s="45"/>
      <c r="K718" s="45"/>
      <c r="L718" s="45"/>
    </row>
    <row r="719" customHeight="1" spans="1:12">
      <c r="A719" s="45"/>
      <c r="B719" s="60"/>
      <c r="D719" s="44"/>
      <c r="G719" s="45"/>
      <c r="H719" s="45"/>
      <c r="I719" s="45"/>
      <c r="J719" s="45"/>
      <c r="K719" s="45"/>
      <c r="L719" s="45"/>
    </row>
    <row r="720" customHeight="1" spans="1:12">
      <c r="A720" s="45"/>
      <c r="B720" s="60"/>
      <c r="D720" s="44"/>
      <c r="G720" s="45"/>
      <c r="H720" s="45"/>
      <c r="I720" s="45"/>
      <c r="J720" s="45"/>
      <c r="K720" s="45"/>
      <c r="L720" s="45"/>
    </row>
    <row r="721" customHeight="1" spans="1:12">
      <c r="A721" s="45"/>
      <c r="B721" s="60"/>
      <c r="D721" s="44"/>
      <c r="G721" s="45"/>
      <c r="H721" s="45"/>
      <c r="I721" s="45"/>
      <c r="J721" s="45"/>
      <c r="K721" s="45"/>
      <c r="L721" s="45"/>
    </row>
    <row r="722" customHeight="1" spans="1:12">
      <c r="A722" s="45"/>
      <c r="B722" s="60"/>
      <c r="D722" s="44"/>
      <c r="G722" s="45"/>
      <c r="H722" s="45"/>
      <c r="I722" s="45"/>
      <c r="J722" s="45"/>
      <c r="K722" s="45"/>
      <c r="L722" s="45"/>
    </row>
    <row r="723" customHeight="1" spans="1:12">
      <c r="A723" s="45"/>
      <c r="B723" s="60"/>
      <c r="D723" s="44"/>
      <c r="G723" s="45"/>
      <c r="H723" s="45"/>
      <c r="I723" s="45"/>
      <c r="J723" s="45"/>
      <c r="K723" s="45"/>
      <c r="L723" s="45"/>
    </row>
    <row r="724" customHeight="1" spans="1:12">
      <c r="A724" s="45"/>
      <c r="B724" s="60"/>
      <c r="D724" s="44"/>
      <c r="G724" s="45"/>
      <c r="H724" s="45"/>
      <c r="I724" s="45"/>
      <c r="J724" s="45"/>
      <c r="K724" s="45"/>
      <c r="L724" s="45"/>
    </row>
    <row r="725" customHeight="1" spans="1:12">
      <c r="A725" s="45"/>
      <c r="B725" s="60"/>
      <c r="D725" s="44"/>
      <c r="G725" s="45"/>
      <c r="H725" s="45"/>
      <c r="I725" s="45"/>
      <c r="J725" s="45"/>
      <c r="K725" s="45"/>
      <c r="L725" s="45"/>
    </row>
    <row r="726" customHeight="1" spans="1:12">
      <c r="A726" s="45"/>
      <c r="B726" s="60"/>
      <c r="D726" s="44"/>
      <c r="G726" s="45"/>
      <c r="H726" s="45"/>
      <c r="I726" s="45"/>
      <c r="J726" s="45"/>
      <c r="K726" s="45"/>
      <c r="L726" s="45"/>
    </row>
    <row r="727" customHeight="1" spans="1:12">
      <c r="A727" s="45"/>
      <c r="B727" s="60"/>
      <c r="D727" s="44"/>
      <c r="G727" s="45"/>
      <c r="H727" s="45"/>
      <c r="I727" s="45"/>
      <c r="J727" s="45"/>
      <c r="K727" s="45"/>
      <c r="L727" s="45"/>
    </row>
    <row r="728" customHeight="1" spans="1:12">
      <c r="A728" s="45"/>
      <c r="B728" s="60"/>
      <c r="D728" s="44"/>
      <c r="G728" s="45"/>
      <c r="H728" s="45"/>
      <c r="I728" s="45"/>
      <c r="J728" s="45"/>
      <c r="K728" s="45"/>
      <c r="L728" s="45"/>
    </row>
    <row r="729" customHeight="1" spans="1:12">
      <c r="A729" s="45"/>
      <c r="B729" s="60"/>
      <c r="D729" s="44"/>
      <c r="G729" s="45"/>
      <c r="H729" s="45"/>
      <c r="I729" s="45"/>
      <c r="J729" s="45"/>
      <c r="K729" s="45"/>
      <c r="L729" s="45"/>
    </row>
    <row r="730" customHeight="1" spans="1:12">
      <c r="A730" s="45"/>
      <c r="B730" s="60"/>
      <c r="D730" s="44"/>
      <c r="G730" s="45"/>
      <c r="H730" s="45"/>
      <c r="I730" s="45"/>
      <c r="J730" s="45"/>
      <c r="K730" s="45"/>
      <c r="L730" s="45"/>
    </row>
    <row r="731" customHeight="1" spans="1:12">
      <c r="A731" s="45"/>
      <c r="B731" s="60"/>
      <c r="D731" s="44"/>
      <c r="G731" s="45"/>
      <c r="H731" s="45"/>
      <c r="I731" s="45"/>
      <c r="J731" s="45"/>
      <c r="K731" s="45"/>
      <c r="L731" s="45"/>
    </row>
    <row r="732" customHeight="1" spans="1:12">
      <c r="A732" s="45"/>
      <c r="B732" s="60"/>
      <c r="D732" s="44"/>
      <c r="G732" s="45"/>
      <c r="H732" s="45"/>
      <c r="I732" s="45"/>
      <c r="J732" s="45"/>
      <c r="K732" s="45"/>
      <c r="L732" s="45"/>
    </row>
    <row r="733" customHeight="1" spans="1:12">
      <c r="A733" s="45"/>
      <c r="B733" s="60"/>
      <c r="D733" s="44"/>
      <c r="G733" s="45"/>
      <c r="H733" s="45"/>
      <c r="I733" s="45"/>
      <c r="J733" s="45"/>
      <c r="K733" s="45"/>
      <c r="L733" s="45"/>
    </row>
    <row r="734" customHeight="1" spans="1:12">
      <c r="A734" s="45"/>
      <c r="B734" s="60"/>
      <c r="D734" s="44"/>
      <c r="G734" s="45"/>
      <c r="H734" s="45"/>
      <c r="I734" s="45"/>
      <c r="J734" s="45"/>
      <c r="K734" s="45"/>
      <c r="L734" s="45"/>
    </row>
    <row r="735" customHeight="1" spans="1:12">
      <c r="A735" s="45"/>
      <c r="B735" s="60"/>
      <c r="D735" s="44"/>
      <c r="G735" s="45"/>
      <c r="H735" s="45"/>
      <c r="I735" s="45"/>
      <c r="J735" s="45"/>
      <c r="K735" s="45"/>
      <c r="L735" s="45"/>
    </row>
    <row r="736" customHeight="1" spans="1:12">
      <c r="A736" s="45"/>
      <c r="B736" s="60"/>
      <c r="D736" s="44"/>
      <c r="G736" s="45"/>
      <c r="H736" s="45"/>
      <c r="I736" s="45"/>
      <c r="J736" s="45"/>
      <c r="K736" s="45"/>
      <c r="L736" s="45"/>
    </row>
    <row r="737" customHeight="1" spans="1:12">
      <c r="A737" s="45"/>
      <c r="B737" s="60"/>
      <c r="D737" s="44"/>
      <c r="G737" s="45"/>
      <c r="H737" s="45"/>
      <c r="I737" s="45"/>
      <c r="J737" s="45"/>
      <c r="K737" s="45"/>
      <c r="L737" s="45"/>
    </row>
    <row r="738" customHeight="1" spans="1:12">
      <c r="A738" s="45"/>
      <c r="B738" s="60"/>
      <c r="D738" s="44"/>
      <c r="G738" s="45"/>
      <c r="H738" s="45"/>
      <c r="I738" s="45"/>
      <c r="J738" s="45"/>
      <c r="K738" s="45"/>
      <c r="L738" s="45"/>
    </row>
    <row r="739" customHeight="1" spans="1:12">
      <c r="A739" s="45"/>
      <c r="B739" s="60"/>
      <c r="D739" s="44"/>
      <c r="G739" s="45"/>
      <c r="H739" s="45"/>
      <c r="I739" s="45"/>
      <c r="J739" s="45"/>
      <c r="K739" s="45"/>
      <c r="L739" s="45"/>
    </row>
    <row r="740" customHeight="1" spans="1:12">
      <c r="A740" s="45"/>
      <c r="B740" s="60"/>
      <c r="D740" s="44"/>
      <c r="G740" s="45"/>
      <c r="H740" s="45"/>
      <c r="I740" s="45"/>
      <c r="J740" s="45"/>
      <c r="K740" s="45"/>
      <c r="L740" s="45"/>
    </row>
    <row r="741" customHeight="1" spans="1:12">
      <c r="A741" s="45"/>
      <c r="B741" s="60"/>
      <c r="D741" s="44"/>
      <c r="G741" s="45"/>
      <c r="H741" s="45"/>
      <c r="I741" s="45"/>
      <c r="J741" s="45"/>
      <c r="K741" s="45"/>
      <c r="L741" s="45"/>
    </row>
    <row r="742" customHeight="1" spans="1:12">
      <c r="A742" s="45"/>
      <c r="B742" s="60"/>
      <c r="D742" s="44"/>
      <c r="G742" s="45"/>
      <c r="H742" s="45"/>
      <c r="I742" s="45"/>
      <c r="J742" s="45"/>
      <c r="K742" s="45"/>
      <c r="L742" s="45"/>
    </row>
    <row r="743" customHeight="1" spans="1:12">
      <c r="A743" s="45"/>
      <c r="B743" s="60"/>
      <c r="D743" s="44"/>
      <c r="G743" s="45"/>
      <c r="H743" s="45"/>
      <c r="I743" s="45"/>
      <c r="J743" s="45"/>
      <c r="K743" s="45"/>
      <c r="L743" s="45"/>
    </row>
    <row r="744" customHeight="1" spans="1:12">
      <c r="A744" s="45"/>
      <c r="B744" s="60"/>
      <c r="D744" s="44"/>
      <c r="G744" s="45"/>
      <c r="H744" s="45"/>
      <c r="I744" s="45"/>
      <c r="J744" s="45"/>
      <c r="K744" s="45"/>
      <c r="L744" s="45"/>
    </row>
    <row r="745" customHeight="1" spans="1:12">
      <c r="A745" s="45"/>
      <c r="B745" s="60"/>
      <c r="D745" s="44"/>
      <c r="G745" s="45"/>
      <c r="H745" s="45"/>
      <c r="I745" s="45"/>
      <c r="J745" s="45"/>
      <c r="K745" s="45"/>
      <c r="L745" s="45"/>
    </row>
    <row r="746" customHeight="1" spans="1:12">
      <c r="A746" s="45"/>
      <c r="B746" s="60"/>
      <c r="D746" s="44"/>
      <c r="G746" s="45"/>
      <c r="H746" s="45"/>
      <c r="I746" s="45"/>
      <c r="J746" s="45"/>
      <c r="K746" s="45"/>
      <c r="L746" s="45"/>
    </row>
    <row r="747" customHeight="1" spans="1:12">
      <c r="A747" s="45"/>
      <c r="B747" s="60"/>
      <c r="D747" s="44"/>
      <c r="G747" s="45"/>
      <c r="H747" s="45"/>
      <c r="I747" s="45"/>
      <c r="J747" s="45"/>
      <c r="K747" s="45"/>
      <c r="L747" s="45"/>
    </row>
    <row r="748" customHeight="1" spans="1:12">
      <c r="A748" s="45"/>
      <c r="B748" s="60"/>
      <c r="D748" s="44"/>
      <c r="G748" s="45"/>
      <c r="H748" s="45"/>
      <c r="I748" s="45"/>
      <c r="J748" s="45"/>
      <c r="K748" s="45"/>
      <c r="L748" s="45"/>
    </row>
    <row r="749" customHeight="1" spans="1:12">
      <c r="A749" s="45"/>
      <c r="B749" s="60"/>
      <c r="D749" s="44"/>
      <c r="G749" s="45"/>
      <c r="H749" s="45"/>
      <c r="I749" s="45"/>
      <c r="J749" s="45"/>
      <c r="K749" s="45"/>
      <c r="L749" s="45"/>
    </row>
    <row r="750" customHeight="1" spans="1:12">
      <c r="A750" s="45"/>
      <c r="B750" s="60"/>
      <c r="D750" s="44"/>
      <c r="G750" s="45"/>
      <c r="H750" s="45"/>
      <c r="I750" s="45"/>
      <c r="J750" s="45"/>
      <c r="K750" s="45"/>
      <c r="L750" s="45"/>
    </row>
    <row r="751" customHeight="1" spans="1:12">
      <c r="A751" s="45"/>
      <c r="B751" s="60"/>
      <c r="D751" s="44"/>
      <c r="G751" s="45"/>
      <c r="H751" s="45"/>
      <c r="I751" s="45"/>
      <c r="J751" s="45"/>
      <c r="K751" s="45"/>
      <c r="L751" s="45"/>
    </row>
    <row r="752" customHeight="1" spans="1:12">
      <c r="A752" s="45"/>
      <c r="B752" s="60"/>
      <c r="D752" s="44"/>
      <c r="G752" s="45"/>
      <c r="H752" s="45"/>
      <c r="I752" s="45"/>
      <c r="J752" s="45"/>
      <c r="K752" s="45"/>
      <c r="L752" s="45"/>
    </row>
    <row r="753" customHeight="1" spans="1:12">
      <c r="A753" s="45"/>
      <c r="B753" s="60"/>
      <c r="D753" s="44"/>
      <c r="G753" s="45"/>
      <c r="H753" s="45"/>
      <c r="I753" s="45"/>
      <c r="J753" s="45"/>
      <c r="K753" s="45"/>
      <c r="L753" s="45"/>
    </row>
    <row r="754" customHeight="1" spans="1:12">
      <c r="A754" s="45"/>
      <c r="B754" s="60"/>
      <c r="D754" s="44"/>
      <c r="G754" s="45"/>
      <c r="H754" s="45"/>
      <c r="I754" s="45"/>
      <c r="J754" s="45"/>
      <c r="K754" s="45"/>
      <c r="L754" s="45"/>
    </row>
    <row r="755" customHeight="1" spans="1:12">
      <c r="A755" s="45"/>
      <c r="B755" s="60"/>
      <c r="D755" s="44"/>
      <c r="G755" s="45"/>
      <c r="H755" s="45"/>
      <c r="I755" s="45"/>
      <c r="J755" s="45"/>
      <c r="K755" s="45"/>
      <c r="L755" s="45"/>
    </row>
    <row r="756" customHeight="1" spans="1:12">
      <c r="A756" s="45"/>
      <c r="B756" s="60"/>
      <c r="D756" s="44"/>
      <c r="G756" s="45"/>
      <c r="H756" s="45"/>
      <c r="I756" s="45"/>
      <c r="J756" s="45"/>
      <c r="K756" s="45"/>
      <c r="L756" s="45"/>
    </row>
    <row r="757" customHeight="1" spans="1:12">
      <c r="A757" s="45"/>
      <c r="B757" s="60"/>
      <c r="D757" s="44"/>
      <c r="G757" s="45"/>
      <c r="H757" s="45"/>
      <c r="I757" s="45"/>
      <c r="J757" s="45"/>
      <c r="K757" s="45"/>
      <c r="L757" s="45"/>
    </row>
    <row r="758" customHeight="1" spans="1:12">
      <c r="A758" s="45"/>
      <c r="B758" s="60"/>
      <c r="D758" s="44"/>
      <c r="G758" s="45"/>
      <c r="H758" s="45"/>
      <c r="I758" s="45"/>
      <c r="J758" s="45"/>
      <c r="K758" s="45"/>
      <c r="L758" s="45"/>
    </row>
    <row r="759" customHeight="1" spans="1:12">
      <c r="A759" s="45"/>
      <c r="B759" s="60"/>
      <c r="D759" s="44"/>
      <c r="G759" s="45"/>
      <c r="H759" s="45"/>
      <c r="I759" s="45"/>
      <c r="J759" s="45"/>
      <c r="K759" s="45"/>
      <c r="L759" s="45"/>
    </row>
    <row r="760" customHeight="1" spans="1:12">
      <c r="A760" s="45"/>
      <c r="B760" s="60"/>
      <c r="D760" s="44"/>
      <c r="G760" s="45"/>
      <c r="H760" s="45"/>
      <c r="I760" s="45"/>
      <c r="J760" s="45"/>
      <c r="K760" s="45"/>
      <c r="L760" s="45"/>
    </row>
    <row r="761" customHeight="1" spans="1:12">
      <c r="A761" s="45"/>
      <c r="B761" s="60"/>
      <c r="D761" s="44"/>
      <c r="G761" s="45"/>
      <c r="H761" s="45"/>
      <c r="I761" s="45"/>
      <c r="J761" s="45"/>
      <c r="K761" s="45"/>
      <c r="L761" s="45"/>
    </row>
    <row r="762" customHeight="1" spans="1:12">
      <c r="A762" s="45"/>
      <c r="B762" s="60"/>
      <c r="D762" s="44"/>
      <c r="G762" s="45"/>
      <c r="H762" s="45"/>
      <c r="I762" s="45"/>
      <c r="J762" s="45"/>
      <c r="K762" s="45"/>
      <c r="L762" s="45"/>
    </row>
    <row r="763" customHeight="1" spans="1:12">
      <c r="A763" s="45"/>
      <c r="B763" s="60"/>
      <c r="D763" s="44"/>
      <c r="G763" s="45"/>
      <c r="H763" s="45"/>
      <c r="I763" s="45"/>
      <c r="J763" s="45"/>
      <c r="K763" s="45"/>
      <c r="L763" s="45"/>
    </row>
    <row r="764" customHeight="1" spans="1:12">
      <c r="A764" s="45"/>
      <c r="B764" s="60"/>
      <c r="D764" s="44"/>
      <c r="G764" s="45"/>
      <c r="H764" s="45"/>
      <c r="I764" s="45"/>
      <c r="J764" s="45"/>
      <c r="K764" s="45"/>
      <c r="L764" s="45"/>
    </row>
    <row r="765" customHeight="1" spans="1:12">
      <c r="A765" s="45"/>
      <c r="B765" s="60"/>
      <c r="D765" s="44"/>
      <c r="G765" s="45"/>
      <c r="H765" s="45"/>
      <c r="I765" s="45"/>
      <c r="J765" s="45"/>
      <c r="K765" s="45"/>
      <c r="L765" s="45"/>
    </row>
    <row r="766" customHeight="1" spans="1:12">
      <c r="A766" s="45"/>
      <c r="B766" s="60"/>
      <c r="D766" s="44"/>
      <c r="G766" s="45"/>
      <c r="H766" s="45"/>
      <c r="I766" s="45"/>
      <c r="J766" s="45"/>
      <c r="K766" s="45"/>
      <c r="L766" s="45"/>
    </row>
    <row r="767" customHeight="1" spans="1:12">
      <c r="A767" s="45"/>
      <c r="B767" s="60"/>
      <c r="D767" s="44"/>
      <c r="G767" s="45"/>
      <c r="H767" s="45"/>
      <c r="I767" s="45"/>
      <c r="J767" s="45"/>
      <c r="K767" s="45"/>
      <c r="L767" s="45"/>
    </row>
    <row r="768" customHeight="1" spans="1:12">
      <c r="A768" s="45"/>
      <c r="B768" s="60"/>
      <c r="D768" s="44"/>
      <c r="G768" s="45"/>
      <c r="H768" s="45"/>
      <c r="I768" s="45"/>
      <c r="J768" s="45"/>
      <c r="K768" s="45"/>
      <c r="L768" s="45"/>
    </row>
    <row r="769" customHeight="1" spans="1:12">
      <c r="A769" s="45"/>
      <c r="B769" s="60"/>
      <c r="D769" s="44"/>
      <c r="G769" s="45"/>
      <c r="H769" s="45"/>
      <c r="I769" s="45"/>
      <c r="J769" s="45"/>
      <c r="K769" s="45"/>
      <c r="L769" s="45"/>
    </row>
    <row r="770" customHeight="1" spans="1:12">
      <c r="A770" s="45"/>
      <c r="B770" s="60"/>
      <c r="D770" s="44"/>
      <c r="G770" s="45"/>
      <c r="H770" s="45"/>
      <c r="I770" s="45"/>
      <c r="J770" s="45"/>
      <c r="K770" s="45"/>
      <c r="L770" s="45"/>
    </row>
    <row r="771" customHeight="1" spans="1:12">
      <c r="A771" s="45"/>
      <c r="B771" s="60"/>
      <c r="D771" s="44"/>
      <c r="G771" s="45"/>
      <c r="H771" s="45"/>
      <c r="I771" s="45"/>
      <c r="J771" s="45"/>
      <c r="K771" s="45"/>
      <c r="L771" s="45"/>
    </row>
    <row r="772" customHeight="1" spans="1:12">
      <c r="A772" s="45"/>
      <c r="B772" s="60"/>
      <c r="D772" s="44"/>
      <c r="G772" s="45"/>
      <c r="H772" s="45"/>
      <c r="I772" s="45"/>
      <c r="J772" s="45"/>
      <c r="K772" s="45"/>
      <c r="L772" s="45"/>
    </row>
    <row r="773" customHeight="1" spans="1:12">
      <c r="A773" s="45"/>
      <c r="B773" s="60"/>
      <c r="D773" s="44"/>
      <c r="G773" s="45"/>
      <c r="H773" s="45"/>
      <c r="I773" s="45"/>
      <c r="J773" s="45"/>
      <c r="K773" s="45"/>
      <c r="L773" s="45"/>
    </row>
    <row r="774" customHeight="1" spans="1:12">
      <c r="A774" s="45"/>
      <c r="B774" s="60"/>
      <c r="D774" s="44"/>
      <c r="G774" s="45"/>
      <c r="H774" s="45"/>
      <c r="I774" s="45"/>
      <c r="J774" s="45"/>
      <c r="K774" s="45"/>
      <c r="L774" s="45"/>
    </row>
    <row r="775" customHeight="1" spans="1:12">
      <c r="A775" s="45"/>
      <c r="B775" s="60"/>
      <c r="D775" s="44"/>
      <c r="G775" s="45"/>
      <c r="H775" s="45"/>
      <c r="I775" s="45"/>
      <c r="J775" s="45"/>
      <c r="K775" s="45"/>
      <c r="L775" s="45"/>
    </row>
    <row r="776" customHeight="1" spans="1:12">
      <c r="A776" s="45"/>
      <c r="B776" s="60"/>
      <c r="D776" s="44"/>
      <c r="G776" s="45"/>
      <c r="H776" s="45"/>
      <c r="I776" s="45"/>
      <c r="J776" s="45"/>
      <c r="K776" s="45"/>
      <c r="L776" s="45"/>
    </row>
    <row r="777" customHeight="1" spans="1:12">
      <c r="A777" s="45"/>
      <c r="B777" s="60"/>
      <c r="D777" s="44"/>
      <c r="G777" s="45"/>
      <c r="H777" s="45"/>
      <c r="I777" s="45"/>
      <c r="J777" s="45"/>
      <c r="K777" s="45"/>
      <c r="L777" s="45"/>
    </row>
    <row r="778" customHeight="1" spans="1:12">
      <c r="A778" s="45"/>
      <c r="B778" s="60"/>
      <c r="D778" s="44"/>
      <c r="G778" s="45"/>
      <c r="H778" s="45"/>
      <c r="I778" s="45"/>
      <c r="J778" s="45"/>
      <c r="K778" s="45"/>
      <c r="L778" s="45"/>
    </row>
    <row r="779" customHeight="1" spans="1:12">
      <c r="A779" s="45"/>
      <c r="B779" s="60"/>
      <c r="D779" s="44"/>
      <c r="G779" s="45"/>
      <c r="H779" s="45"/>
      <c r="I779" s="45"/>
      <c r="J779" s="45"/>
      <c r="K779" s="45"/>
      <c r="L779" s="45"/>
    </row>
    <row r="780" customHeight="1" spans="1:12">
      <c r="A780" s="45"/>
      <c r="B780" s="60"/>
      <c r="D780" s="44"/>
      <c r="G780" s="45"/>
      <c r="H780" s="45"/>
      <c r="I780" s="45"/>
      <c r="J780" s="45"/>
      <c r="K780" s="45"/>
      <c r="L780" s="45"/>
    </row>
    <row r="781" customHeight="1" spans="1:12">
      <c r="A781" s="45"/>
      <c r="B781" s="60"/>
      <c r="D781" s="44"/>
      <c r="G781" s="45"/>
      <c r="H781" s="45"/>
      <c r="I781" s="45"/>
      <c r="J781" s="45"/>
      <c r="K781" s="45"/>
      <c r="L781" s="45"/>
    </row>
    <row r="782" customHeight="1" spans="1:12">
      <c r="A782" s="45"/>
      <c r="B782" s="60"/>
      <c r="D782" s="44"/>
      <c r="G782" s="45"/>
      <c r="H782" s="45"/>
      <c r="I782" s="45"/>
      <c r="J782" s="45"/>
      <c r="K782" s="45"/>
      <c r="L782" s="45"/>
    </row>
    <row r="783" customHeight="1" spans="1:12">
      <c r="A783" s="45"/>
      <c r="B783" s="60"/>
      <c r="D783" s="44"/>
      <c r="G783" s="45"/>
      <c r="H783" s="45"/>
      <c r="I783" s="45"/>
      <c r="J783" s="45"/>
      <c r="K783" s="45"/>
      <c r="L783" s="45"/>
    </row>
    <row r="784" customHeight="1" spans="1:12">
      <c r="A784" s="45"/>
      <c r="B784" s="60"/>
      <c r="D784" s="44"/>
      <c r="G784" s="45"/>
      <c r="H784" s="45"/>
      <c r="I784" s="45"/>
      <c r="J784" s="45"/>
      <c r="K784" s="45"/>
      <c r="L784" s="45"/>
    </row>
    <row r="785" customHeight="1" spans="1:12">
      <c r="A785" s="45"/>
      <c r="B785" s="60"/>
      <c r="D785" s="44"/>
      <c r="G785" s="45"/>
      <c r="H785" s="45"/>
      <c r="I785" s="45"/>
      <c r="J785" s="45"/>
      <c r="K785" s="45"/>
      <c r="L785" s="45"/>
    </row>
    <row r="786" customHeight="1" spans="1:12">
      <c r="A786" s="45"/>
      <c r="B786" s="60"/>
      <c r="D786" s="44"/>
      <c r="G786" s="45"/>
      <c r="H786" s="45"/>
      <c r="I786" s="45"/>
      <c r="J786" s="45"/>
      <c r="K786" s="45"/>
      <c r="L786" s="45"/>
    </row>
    <row r="787" customHeight="1" spans="1:12">
      <c r="A787" s="45"/>
      <c r="B787" s="60"/>
      <c r="D787" s="44"/>
      <c r="G787" s="45"/>
      <c r="H787" s="45"/>
      <c r="I787" s="45"/>
      <c r="J787" s="45"/>
      <c r="K787" s="45"/>
      <c r="L787" s="45"/>
    </row>
    <row r="788" customHeight="1" spans="1:12">
      <c r="A788" s="45"/>
      <c r="B788" s="60"/>
      <c r="D788" s="44"/>
      <c r="G788" s="45"/>
      <c r="H788" s="45"/>
      <c r="I788" s="45"/>
      <c r="J788" s="45"/>
      <c r="K788" s="45"/>
      <c r="L788" s="45"/>
    </row>
    <row r="789" customHeight="1" spans="1:12">
      <c r="A789" s="45"/>
      <c r="B789" s="60"/>
      <c r="D789" s="44"/>
      <c r="G789" s="45"/>
      <c r="H789" s="45"/>
      <c r="I789" s="45"/>
      <c r="J789" s="45"/>
      <c r="K789" s="45"/>
      <c r="L789" s="45"/>
    </row>
    <row r="790" customHeight="1" spans="1:12">
      <c r="A790" s="45"/>
      <c r="B790" s="60"/>
      <c r="D790" s="44"/>
      <c r="G790" s="45"/>
      <c r="H790" s="45"/>
      <c r="I790" s="45"/>
      <c r="J790" s="45"/>
      <c r="K790" s="45"/>
      <c r="L790" s="45"/>
    </row>
    <row r="791" customHeight="1" spans="1:12">
      <c r="A791" s="45"/>
      <c r="B791" s="60"/>
      <c r="D791" s="44"/>
      <c r="G791" s="45"/>
      <c r="H791" s="45"/>
      <c r="I791" s="45"/>
      <c r="J791" s="45"/>
      <c r="K791" s="45"/>
      <c r="L791" s="45"/>
    </row>
    <row r="792" customHeight="1" spans="1:12">
      <c r="A792" s="45"/>
      <c r="B792" s="60"/>
      <c r="D792" s="44"/>
      <c r="G792" s="45"/>
      <c r="H792" s="45"/>
      <c r="I792" s="45"/>
      <c r="J792" s="45"/>
      <c r="K792" s="45"/>
      <c r="L792" s="45"/>
    </row>
    <row r="793" customHeight="1" spans="1:12">
      <c r="A793" s="45"/>
      <c r="B793" s="60"/>
      <c r="D793" s="44"/>
      <c r="G793" s="45"/>
      <c r="H793" s="45"/>
      <c r="I793" s="45"/>
      <c r="J793" s="45"/>
      <c r="K793" s="45"/>
      <c r="L793" s="45"/>
    </row>
    <row r="794" customHeight="1" spans="1:12">
      <c r="A794" s="45"/>
      <c r="B794" s="60"/>
      <c r="D794" s="44"/>
      <c r="G794" s="45"/>
      <c r="H794" s="45"/>
      <c r="I794" s="45"/>
      <c r="J794" s="45"/>
      <c r="K794" s="45"/>
      <c r="L794" s="45"/>
    </row>
    <row r="795" customHeight="1" spans="1:12">
      <c r="A795" s="45"/>
      <c r="B795" s="60"/>
      <c r="D795" s="44"/>
      <c r="G795" s="45"/>
      <c r="H795" s="45"/>
      <c r="I795" s="45"/>
      <c r="J795" s="45"/>
      <c r="K795" s="45"/>
      <c r="L795" s="45"/>
    </row>
    <row r="796" customHeight="1" spans="1:12">
      <c r="A796" s="45"/>
      <c r="B796" s="60"/>
      <c r="D796" s="44"/>
      <c r="G796" s="45"/>
      <c r="H796" s="45"/>
      <c r="I796" s="45"/>
      <c r="J796" s="45"/>
      <c r="K796" s="45"/>
      <c r="L796" s="45"/>
    </row>
    <row r="797" customHeight="1" spans="1:12">
      <c r="A797" s="45"/>
      <c r="B797" s="60"/>
      <c r="D797" s="44"/>
      <c r="G797" s="45"/>
      <c r="H797" s="45"/>
      <c r="I797" s="45"/>
      <c r="J797" s="45"/>
      <c r="K797" s="45"/>
      <c r="L797" s="45"/>
    </row>
    <row r="798" customHeight="1" spans="1:12">
      <c r="A798" s="45"/>
      <c r="B798" s="60"/>
      <c r="D798" s="44"/>
      <c r="G798" s="45"/>
      <c r="H798" s="45"/>
      <c r="I798" s="45"/>
      <c r="J798" s="45"/>
      <c r="K798" s="45"/>
      <c r="L798" s="45"/>
    </row>
    <row r="799" customHeight="1" spans="1:12">
      <c r="A799" s="45"/>
      <c r="B799" s="60"/>
      <c r="D799" s="44"/>
      <c r="G799" s="45"/>
      <c r="H799" s="45"/>
      <c r="I799" s="45"/>
      <c r="J799" s="45"/>
      <c r="K799" s="45"/>
      <c r="L799" s="45"/>
    </row>
    <row r="800" customHeight="1" spans="1:12">
      <c r="A800" s="45"/>
      <c r="B800" s="60"/>
      <c r="D800" s="44"/>
      <c r="G800" s="45"/>
      <c r="H800" s="45"/>
      <c r="I800" s="45"/>
      <c r="J800" s="45"/>
      <c r="K800" s="45"/>
      <c r="L800" s="45"/>
    </row>
    <row r="801" customHeight="1" spans="1:12">
      <c r="A801" s="45"/>
      <c r="B801" s="60"/>
      <c r="D801" s="44"/>
      <c r="G801" s="45"/>
      <c r="H801" s="45"/>
      <c r="I801" s="45"/>
      <c r="J801" s="45"/>
      <c r="K801" s="45"/>
      <c r="L801" s="45"/>
    </row>
    <row r="802" customHeight="1" spans="1:12">
      <c r="A802" s="45"/>
      <c r="B802" s="60"/>
      <c r="D802" s="44"/>
      <c r="G802" s="45"/>
      <c r="H802" s="45"/>
      <c r="I802" s="45"/>
      <c r="J802" s="45"/>
      <c r="K802" s="45"/>
      <c r="L802" s="45"/>
    </row>
    <row r="803" customHeight="1" spans="1:12">
      <c r="A803" s="45"/>
      <c r="B803" s="60"/>
      <c r="D803" s="44"/>
      <c r="G803" s="45"/>
      <c r="H803" s="45"/>
      <c r="I803" s="45"/>
      <c r="J803" s="45"/>
      <c r="K803" s="45"/>
      <c r="L803" s="45"/>
    </row>
    <row r="804" customHeight="1" spans="1:12">
      <c r="A804" s="45"/>
      <c r="B804" s="60"/>
      <c r="D804" s="44"/>
      <c r="G804" s="45"/>
      <c r="H804" s="45"/>
      <c r="I804" s="45"/>
      <c r="J804" s="45"/>
      <c r="K804" s="45"/>
      <c r="L804" s="45"/>
    </row>
    <row r="805" customHeight="1" spans="1:12">
      <c r="A805" s="45"/>
      <c r="B805" s="60"/>
      <c r="D805" s="44"/>
      <c r="G805" s="45"/>
      <c r="H805" s="45"/>
      <c r="I805" s="45"/>
      <c r="J805" s="45"/>
      <c r="K805" s="45"/>
      <c r="L805" s="45"/>
    </row>
    <row r="806" customHeight="1" spans="1:12">
      <c r="A806" s="45"/>
      <c r="B806" s="60"/>
      <c r="D806" s="44"/>
      <c r="G806" s="45"/>
      <c r="H806" s="45"/>
      <c r="I806" s="45"/>
      <c r="J806" s="45"/>
      <c r="K806" s="45"/>
      <c r="L806" s="45"/>
    </row>
    <row r="807" customHeight="1" spans="1:12">
      <c r="A807" s="45"/>
      <c r="B807" s="60"/>
      <c r="D807" s="44"/>
      <c r="G807" s="45"/>
      <c r="H807" s="45"/>
      <c r="I807" s="45"/>
      <c r="J807" s="45"/>
      <c r="K807" s="45"/>
      <c r="L807" s="45"/>
    </row>
    <row r="808" customHeight="1" spans="1:12">
      <c r="A808" s="45"/>
      <c r="B808" s="60"/>
      <c r="D808" s="44"/>
      <c r="G808" s="45"/>
      <c r="H808" s="45"/>
      <c r="I808" s="45"/>
      <c r="J808" s="45"/>
      <c r="K808" s="45"/>
      <c r="L808" s="45"/>
    </row>
    <row r="809" customHeight="1" spans="1:12">
      <c r="A809" s="45"/>
      <c r="B809" s="60"/>
      <c r="D809" s="44"/>
      <c r="G809" s="45"/>
      <c r="H809" s="45"/>
      <c r="I809" s="45"/>
      <c r="J809" s="45"/>
      <c r="K809" s="45"/>
      <c r="L809" s="45"/>
    </row>
    <row r="810" customHeight="1" spans="1:12">
      <c r="A810" s="45"/>
      <c r="B810" s="60"/>
      <c r="D810" s="44"/>
      <c r="G810" s="45"/>
      <c r="H810" s="45"/>
      <c r="I810" s="45"/>
      <c r="J810" s="45"/>
      <c r="K810" s="45"/>
      <c r="L810" s="45"/>
    </row>
    <row r="811" customHeight="1" spans="1:12">
      <c r="A811" s="45"/>
      <c r="B811" s="60"/>
      <c r="D811" s="44"/>
      <c r="G811" s="45"/>
      <c r="H811" s="45"/>
      <c r="I811" s="45"/>
      <c r="J811" s="45"/>
      <c r="K811" s="45"/>
      <c r="L811" s="45"/>
    </row>
    <row r="812" customHeight="1" spans="1:12">
      <c r="A812" s="45"/>
      <c r="B812" s="60"/>
      <c r="D812" s="44"/>
      <c r="G812" s="45"/>
      <c r="H812" s="45"/>
      <c r="I812" s="45"/>
      <c r="J812" s="45"/>
      <c r="K812" s="45"/>
      <c r="L812" s="45"/>
    </row>
    <row r="813" customHeight="1" spans="1:12">
      <c r="A813" s="45"/>
      <c r="B813" s="60"/>
      <c r="D813" s="44"/>
      <c r="G813" s="45"/>
      <c r="H813" s="45"/>
      <c r="I813" s="45"/>
      <c r="J813" s="45"/>
      <c r="K813" s="45"/>
      <c r="L813" s="45"/>
    </row>
    <row r="814" customHeight="1" spans="1:12">
      <c r="A814" s="45"/>
      <c r="B814" s="60"/>
      <c r="D814" s="44"/>
      <c r="G814" s="45"/>
      <c r="H814" s="45"/>
      <c r="I814" s="45"/>
      <c r="J814" s="45"/>
      <c r="K814" s="45"/>
      <c r="L814" s="45"/>
    </row>
    <row r="815" customHeight="1" spans="1:12">
      <c r="A815" s="45"/>
      <c r="B815" s="60"/>
      <c r="D815" s="44"/>
      <c r="G815" s="45"/>
      <c r="H815" s="45"/>
      <c r="I815" s="45"/>
      <c r="J815" s="45"/>
      <c r="K815" s="45"/>
      <c r="L815" s="45"/>
    </row>
    <row r="816" customHeight="1" spans="1:12">
      <c r="A816" s="45"/>
      <c r="B816" s="60"/>
      <c r="D816" s="44"/>
      <c r="G816" s="45"/>
      <c r="H816" s="45"/>
      <c r="I816" s="45"/>
      <c r="J816" s="45"/>
      <c r="K816" s="45"/>
      <c r="L816" s="45"/>
    </row>
    <row r="817" customHeight="1" spans="1:12">
      <c r="A817" s="45"/>
      <c r="B817" s="60"/>
      <c r="D817" s="44"/>
      <c r="G817" s="45"/>
      <c r="H817" s="45"/>
      <c r="I817" s="45"/>
      <c r="J817" s="45"/>
      <c r="K817" s="45"/>
      <c r="L817" s="45"/>
    </row>
    <row r="818" customHeight="1" spans="1:12">
      <c r="A818" s="45"/>
      <c r="B818" s="60"/>
      <c r="D818" s="44"/>
      <c r="G818" s="45"/>
      <c r="H818" s="45"/>
      <c r="I818" s="45"/>
      <c r="J818" s="45"/>
      <c r="K818" s="45"/>
      <c r="L818" s="45"/>
    </row>
    <row r="819" customHeight="1" spans="1:12">
      <c r="A819" s="45"/>
      <c r="B819" s="60"/>
      <c r="D819" s="44"/>
      <c r="G819" s="45"/>
      <c r="H819" s="45"/>
      <c r="I819" s="45"/>
      <c r="J819" s="45"/>
      <c r="K819" s="45"/>
      <c r="L819" s="45"/>
    </row>
    <row r="820" customHeight="1" spans="1:12">
      <c r="A820" s="45"/>
      <c r="B820" s="60"/>
      <c r="D820" s="44"/>
      <c r="G820" s="45"/>
      <c r="H820" s="45"/>
      <c r="I820" s="45"/>
      <c r="J820" s="45"/>
      <c r="K820" s="45"/>
      <c r="L820" s="45"/>
    </row>
    <row r="821" customHeight="1" spans="1:12">
      <c r="A821" s="45"/>
      <c r="B821" s="60"/>
      <c r="D821" s="44"/>
      <c r="G821" s="45"/>
      <c r="H821" s="45"/>
      <c r="I821" s="45"/>
      <c r="J821" s="45"/>
      <c r="K821" s="45"/>
      <c r="L821" s="45"/>
    </row>
    <row r="822" customHeight="1" spans="1:12">
      <c r="A822" s="45"/>
      <c r="B822" s="60"/>
      <c r="D822" s="44"/>
      <c r="G822" s="45"/>
      <c r="H822" s="45"/>
      <c r="I822" s="45"/>
      <c r="J822" s="45"/>
      <c r="K822" s="45"/>
      <c r="L822" s="45"/>
    </row>
    <row r="823" customHeight="1" spans="1:12">
      <c r="A823" s="45"/>
      <c r="B823" s="60"/>
      <c r="D823" s="44"/>
      <c r="G823" s="45"/>
      <c r="H823" s="45"/>
      <c r="I823" s="45"/>
      <c r="J823" s="45"/>
      <c r="K823" s="45"/>
      <c r="L823" s="45"/>
    </row>
    <row r="824" customHeight="1" spans="1:12">
      <c r="A824" s="45"/>
      <c r="B824" s="60"/>
      <c r="D824" s="44"/>
      <c r="G824" s="45"/>
      <c r="H824" s="45"/>
      <c r="I824" s="45"/>
      <c r="J824" s="45"/>
      <c r="K824" s="45"/>
      <c r="L824" s="45"/>
    </row>
    <row r="825" customHeight="1" spans="1:12">
      <c r="A825" s="45"/>
      <c r="B825" s="60"/>
      <c r="D825" s="44"/>
      <c r="G825" s="45"/>
      <c r="H825" s="45"/>
      <c r="I825" s="45"/>
      <c r="J825" s="45"/>
      <c r="K825" s="45"/>
      <c r="L825" s="45"/>
    </row>
    <row r="826" customHeight="1" spans="1:12">
      <c r="A826" s="45"/>
      <c r="B826" s="60"/>
      <c r="D826" s="44"/>
      <c r="G826" s="45"/>
      <c r="H826" s="45"/>
      <c r="I826" s="45"/>
      <c r="J826" s="45"/>
      <c r="K826" s="45"/>
      <c r="L826" s="45"/>
    </row>
    <row r="827" customHeight="1" spans="1:12">
      <c r="A827" s="45"/>
      <c r="B827" s="60"/>
      <c r="D827" s="44"/>
      <c r="G827" s="45"/>
      <c r="H827" s="45"/>
      <c r="I827" s="45"/>
      <c r="J827" s="45"/>
      <c r="K827" s="45"/>
      <c r="L827" s="45"/>
    </row>
    <row r="828" customHeight="1" spans="1:12">
      <c r="A828" s="45"/>
      <c r="B828" s="60"/>
      <c r="D828" s="44"/>
      <c r="G828" s="45"/>
      <c r="H828" s="45"/>
      <c r="I828" s="45"/>
      <c r="J828" s="45"/>
      <c r="K828" s="45"/>
      <c r="L828" s="45"/>
    </row>
    <row r="829" customHeight="1" spans="1:12">
      <c r="A829" s="45"/>
      <c r="B829" s="60"/>
      <c r="D829" s="44"/>
      <c r="G829" s="45"/>
      <c r="H829" s="45"/>
      <c r="I829" s="45"/>
      <c r="J829" s="45"/>
      <c r="K829" s="45"/>
      <c r="L829" s="45"/>
    </row>
    <row r="830" customHeight="1" spans="1:12">
      <c r="A830" s="45"/>
      <c r="B830" s="60"/>
      <c r="D830" s="44"/>
      <c r="G830" s="45"/>
      <c r="H830" s="45"/>
      <c r="I830" s="45"/>
      <c r="J830" s="45"/>
      <c r="K830" s="45"/>
      <c r="L830" s="45"/>
    </row>
    <row r="831" customHeight="1" spans="1:12">
      <c r="A831" s="45"/>
      <c r="B831" s="60"/>
      <c r="D831" s="44"/>
      <c r="G831" s="45"/>
      <c r="H831" s="45"/>
      <c r="I831" s="45"/>
      <c r="J831" s="45"/>
      <c r="K831" s="45"/>
      <c r="L831" s="45"/>
    </row>
    <row r="832" customHeight="1" spans="1:12">
      <c r="A832" s="45"/>
      <c r="B832" s="60"/>
      <c r="D832" s="44"/>
      <c r="G832" s="45"/>
      <c r="H832" s="45"/>
      <c r="I832" s="45"/>
      <c r="J832" s="45"/>
      <c r="K832" s="45"/>
      <c r="L832" s="45"/>
    </row>
    <row r="833" customHeight="1" spans="1:12">
      <c r="A833" s="45"/>
      <c r="B833" s="60"/>
      <c r="D833" s="44"/>
      <c r="G833" s="45"/>
      <c r="H833" s="45"/>
      <c r="I833" s="45"/>
      <c r="J833" s="45"/>
      <c r="K833" s="45"/>
      <c r="L833" s="45"/>
    </row>
    <row r="834" customHeight="1" spans="1:12">
      <c r="A834" s="45"/>
      <c r="B834" s="60"/>
      <c r="D834" s="44"/>
      <c r="G834" s="45"/>
      <c r="H834" s="45"/>
      <c r="I834" s="45"/>
      <c r="J834" s="45"/>
      <c r="K834" s="45"/>
      <c r="L834" s="45"/>
    </row>
    <row r="835" customHeight="1" spans="1:12">
      <c r="A835" s="45"/>
      <c r="B835" s="60"/>
      <c r="D835" s="44"/>
      <c r="G835" s="45"/>
      <c r="H835" s="45"/>
      <c r="I835" s="45"/>
      <c r="J835" s="45"/>
      <c r="K835" s="45"/>
      <c r="L835" s="45"/>
    </row>
    <row r="836" customHeight="1" spans="1:12">
      <c r="A836" s="45"/>
      <c r="B836" s="60"/>
      <c r="D836" s="44"/>
      <c r="G836" s="45"/>
      <c r="H836" s="45"/>
      <c r="I836" s="45"/>
      <c r="J836" s="45"/>
      <c r="K836" s="45"/>
      <c r="L836" s="45"/>
    </row>
    <row r="837" customHeight="1" spans="1:12">
      <c r="A837" s="45"/>
      <c r="B837" s="60"/>
      <c r="D837" s="44"/>
      <c r="G837" s="45"/>
      <c r="H837" s="45"/>
      <c r="I837" s="45"/>
      <c r="J837" s="45"/>
      <c r="K837" s="45"/>
      <c r="L837" s="45"/>
    </row>
    <row r="838" customHeight="1" spans="1:12">
      <c r="A838" s="45"/>
      <c r="B838" s="60"/>
      <c r="D838" s="44"/>
      <c r="G838" s="45"/>
      <c r="H838" s="45"/>
      <c r="I838" s="45"/>
      <c r="J838" s="45"/>
      <c r="K838" s="45"/>
      <c r="L838" s="45"/>
    </row>
    <row r="839" customHeight="1" spans="1:12">
      <c r="A839" s="45"/>
      <c r="B839" s="60"/>
      <c r="D839" s="44"/>
      <c r="G839" s="45"/>
      <c r="H839" s="45"/>
      <c r="I839" s="45"/>
      <c r="J839" s="45"/>
      <c r="K839" s="45"/>
      <c r="L839" s="45"/>
    </row>
    <row r="840" customHeight="1" spans="1:12">
      <c r="A840" s="45"/>
      <c r="B840" s="60"/>
      <c r="D840" s="44"/>
      <c r="G840" s="45"/>
      <c r="H840" s="45"/>
      <c r="I840" s="45"/>
      <c r="J840" s="45"/>
      <c r="K840" s="45"/>
      <c r="L840" s="45"/>
    </row>
    <row r="841" customHeight="1" spans="1:12">
      <c r="A841" s="45"/>
      <c r="B841" s="60"/>
      <c r="D841" s="44"/>
      <c r="G841" s="45"/>
      <c r="H841" s="45"/>
      <c r="I841" s="45"/>
      <c r="J841" s="45"/>
      <c r="K841" s="45"/>
      <c r="L841" s="45"/>
    </row>
    <row r="842" customHeight="1" spans="1:12">
      <c r="A842" s="45"/>
      <c r="B842" s="60"/>
      <c r="D842" s="44"/>
      <c r="G842" s="45"/>
      <c r="H842" s="45"/>
      <c r="I842" s="45"/>
      <c r="J842" s="45"/>
      <c r="K842" s="45"/>
      <c r="L842" s="45"/>
    </row>
    <row r="843" customHeight="1" spans="1:12">
      <c r="A843" s="45"/>
      <c r="B843" s="60"/>
      <c r="D843" s="44"/>
      <c r="G843" s="45"/>
      <c r="H843" s="45"/>
      <c r="I843" s="45"/>
      <c r="J843" s="45"/>
      <c r="K843" s="45"/>
      <c r="L843" s="45"/>
    </row>
    <row r="844" customHeight="1" spans="1:12">
      <c r="A844" s="45"/>
      <c r="B844" s="60"/>
      <c r="D844" s="44"/>
      <c r="G844" s="45"/>
      <c r="H844" s="45"/>
      <c r="I844" s="45"/>
      <c r="J844" s="45"/>
      <c r="K844" s="45"/>
      <c r="L844" s="45"/>
    </row>
    <row r="845" customHeight="1" spans="1:12">
      <c r="A845" s="45"/>
      <c r="B845" s="60"/>
      <c r="D845" s="44"/>
      <c r="G845" s="45"/>
      <c r="H845" s="45"/>
      <c r="I845" s="45"/>
      <c r="J845" s="45"/>
      <c r="K845" s="45"/>
      <c r="L845" s="45"/>
    </row>
    <row r="846" customHeight="1" spans="1:12">
      <c r="A846" s="45"/>
      <c r="B846" s="60"/>
      <c r="D846" s="44"/>
      <c r="G846" s="45"/>
      <c r="H846" s="45"/>
      <c r="I846" s="45"/>
      <c r="J846" s="45"/>
      <c r="K846" s="45"/>
      <c r="L846" s="45"/>
    </row>
    <row r="847" customHeight="1" spans="1:12">
      <c r="A847" s="45"/>
      <c r="B847" s="60"/>
      <c r="D847" s="44"/>
      <c r="G847" s="45"/>
      <c r="H847" s="45"/>
      <c r="I847" s="45"/>
      <c r="J847" s="45"/>
      <c r="K847" s="45"/>
      <c r="L847" s="45"/>
    </row>
    <row r="848" customHeight="1" spans="1:12">
      <c r="A848" s="45"/>
      <c r="B848" s="60"/>
      <c r="D848" s="44"/>
      <c r="G848" s="45"/>
      <c r="H848" s="45"/>
      <c r="I848" s="45"/>
      <c r="J848" s="45"/>
      <c r="K848" s="45"/>
      <c r="L848" s="45"/>
    </row>
    <row r="849" customHeight="1" spans="1:12">
      <c r="A849" s="45"/>
      <c r="B849" s="60"/>
      <c r="D849" s="44"/>
      <c r="G849" s="45"/>
      <c r="H849" s="45"/>
      <c r="I849" s="45"/>
      <c r="J849" s="45"/>
      <c r="K849" s="45"/>
      <c r="L849" s="45"/>
    </row>
    <row r="850" customHeight="1" spans="1:12">
      <c r="A850" s="45"/>
      <c r="B850" s="60"/>
      <c r="D850" s="44"/>
      <c r="G850" s="45"/>
      <c r="H850" s="45"/>
      <c r="I850" s="45"/>
      <c r="J850" s="45"/>
      <c r="K850" s="45"/>
      <c r="L850" s="45"/>
    </row>
    <row r="851" customHeight="1" spans="1:12">
      <c r="A851" s="45"/>
      <c r="B851" s="60"/>
      <c r="D851" s="44"/>
      <c r="G851" s="45"/>
      <c r="H851" s="45"/>
      <c r="I851" s="45"/>
      <c r="J851" s="45"/>
      <c r="K851" s="45"/>
      <c r="L851" s="45"/>
    </row>
    <row r="852" customHeight="1" spans="1:12">
      <c r="A852" s="45"/>
      <c r="B852" s="60"/>
      <c r="D852" s="44"/>
      <c r="G852" s="45"/>
      <c r="H852" s="45"/>
      <c r="I852" s="45"/>
      <c r="J852" s="45"/>
      <c r="K852" s="45"/>
      <c r="L852" s="45"/>
    </row>
    <row r="853" customHeight="1" spans="1:12">
      <c r="A853" s="45"/>
      <c r="B853" s="60"/>
      <c r="D853" s="44"/>
      <c r="G853" s="45"/>
      <c r="H853" s="45"/>
      <c r="I853" s="45"/>
      <c r="J853" s="45"/>
      <c r="K853" s="45"/>
      <c r="L853" s="45"/>
    </row>
    <row r="854" customHeight="1" spans="1:12">
      <c r="A854" s="45"/>
      <c r="B854" s="60"/>
      <c r="D854" s="44"/>
      <c r="G854" s="45"/>
      <c r="H854" s="45"/>
      <c r="I854" s="45"/>
      <c r="J854" s="45"/>
      <c r="K854" s="45"/>
      <c r="L854" s="45"/>
    </row>
    <row r="855" customHeight="1" spans="1:12">
      <c r="A855" s="45"/>
      <c r="B855" s="60"/>
      <c r="D855" s="44"/>
      <c r="G855" s="45"/>
      <c r="H855" s="45"/>
      <c r="I855" s="45"/>
      <c r="J855" s="45"/>
      <c r="K855" s="45"/>
      <c r="L855" s="45"/>
    </row>
    <row r="856" customHeight="1" spans="1:12">
      <c r="A856" s="45"/>
      <c r="B856" s="60"/>
      <c r="D856" s="44"/>
      <c r="G856" s="45"/>
      <c r="H856" s="45"/>
      <c r="I856" s="45"/>
      <c r="J856" s="45"/>
      <c r="K856" s="45"/>
      <c r="L856" s="45"/>
    </row>
    <row r="857" customHeight="1" spans="1:12">
      <c r="A857" s="45"/>
      <c r="B857" s="60"/>
      <c r="D857" s="44"/>
      <c r="G857" s="45"/>
      <c r="H857" s="45"/>
      <c r="I857" s="45"/>
      <c r="J857" s="45"/>
      <c r="K857" s="45"/>
      <c r="L857" s="45"/>
    </row>
    <row r="858" customHeight="1" spans="1:12">
      <c r="A858" s="45"/>
      <c r="B858" s="60"/>
      <c r="D858" s="44"/>
      <c r="G858" s="45"/>
      <c r="H858" s="45"/>
      <c r="I858" s="45"/>
      <c r="J858" s="45"/>
      <c r="K858" s="45"/>
      <c r="L858" s="45"/>
    </row>
    <row r="859" customHeight="1" spans="1:12">
      <c r="A859" s="45"/>
      <c r="B859" s="60"/>
      <c r="D859" s="44"/>
      <c r="G859" s="45"/>
      <c r="H859" s="45"/>
      <c r="I859" s="45"/>
      <c r="J859" s="45"/>
      <c r="K859" s="45"/>
      <c r="L859" s="45"/>
    </row>
    <row r="860" customHeight="1" spans="1:12">
      <c r="A860" s="45"/>
      <c r="B860" s="60"/>
      <c r="D860" s="44"/>
      <c r="G860" s="45"/>
      <c r="H860" s="45"/>
      <c r="I860" s="45"/>
      <c r="J860" s="45"/>
      <c r="K860" s="45"/>
      <c r="L860" s="45"/>
    </row>
    <row r="861" customHeight="1" spans="1:12">
      <c r="A861" s="45"/>
      <c r="B861" s="60"/>
      <c r="D861" s="44"/>
      <c r="G861" s="45"/>
      <c r="H861" s="45"/>
      <c r="I861" s="45"/>
      <c r="J861" s="45"/>
      <c r="K861" s="45"/>
      <c r="L861" s="45"/>
    </row>
    <row r="862" customHeight="1" spans="1:12">
      <c r="A862" s="45"/>
      <c r="B862" s="60"/>
      <c r="D862" s="44"/>
      <c r="G862" s="45"/>
      <c r="H862" s="45"/>
      <c r="I862" s="45"/>
      <c r="J862" s="45"/>
      <c r="K862" s="45"/>
      <c r="L862" s="45"/>
    </row>
    <row r="863" customHeight="1" spans="1:12">
      <c r="A863" s="45"/>
      <c r="B863" s="60"/>
      <c r="D863" s="44"/>
      <c r="G863" s="45"/>
      <c r="H863" s="45"/>
      <c r="I863" s="45"/>
      <c r="J863" s="45"/>
      <c r="K863" s="45"/>
      <c r="L863" s="45"/>
    </row>
    <row r="864" customHeight="1" spans="1:12">
      <c r="A864" s="45"/>
      <c r="B864" s="60"/>
      <c r="D864" s="44"/>
      <c r="G864" s="45"/>
      <c r="H864" s="45"/>
      <c r="I864" s="45"/>
      <c r="J864" s="45"/>
      <c r="K864" s="45"/>
      <c r="L864" s="45"/>
    </row>
    <row r="865" customHeight="1" spans="1:12">
      <c r="A865" s="45"/>
      <c r="B865" s="60"/>
      <c r="D865" s="44"/>
      <c r="G865" s="45"/>
      <c r="H865" s="45"/>
      <c r="I865" s="45"/>
      <c r="J865" s="45"/>
      <c r="K865" s="45"/>
      <c r="L865" s="45"/>
    </row>
    <row r="866" customHeight="1" spans="1:12">
      <c r="A866" s="45"/>
      <c r="B866" s="60"/>
      <c r="D866" s="44"/>
      <c r="G866" s="45"/>
      <c r="H866" s="45"/>
      <c r="I866" s="45"/>
      <c r="J866" s="45"/>
      <c r="K866" s="45"/>
      <c r="L866" s="45"/>
    </row>
    <row r="867" customHeight="1" spans="1:12">
      <c r="A867" s="45"/>
      <c r="B867" s="60"/>
      <c r="D867" s="44"/>
      <c r="G867" s="45"/>
      <c r="H867" s="45"/>
      <c r="I867" s="45"/>
      <c r="J867" s="45"/>
      <c r="K867" s="45"/>
      <c r="L867" s="45"/>
    </row>
    <row r="868" customHeight="1" spans="1:12">
      <c r="A868" s="45"/>
      <c r="B868" s="60"/>
      <c r="D868" s="44"/>
      <c r="G868" s="45"/>
      <c r="H868" s="45"/>
      <c r="I868" s="45"/>
      <c r="J868" s="45"/>
      <c r="K868" s="45"/>
      <c r="L868" s="45"/>
    </row>
    <row r="869" customHeight="1" spans="1:12">
      <c r="A869" s="45"/>
      <c r="B869" s="60"/>
      <c r="D869" s="44"/>
      <c r="G869" s="45"/>
      <c r="H869" s="45"/>
      <c r="I869" s="45"/>
      <c r="J869" s="45"/>
      <c r="K869" s="45"/>
      <c r="L869" s="45"/>
    </row>
    <row r="870" customHeight="1" spans="1:12">
      <c r="A870" s="45"/>
      <c r="B870" s="60"/>
      <c r="D870" s="44"/>
      <c r="G870" s="45"/>
      <c r="H870" s="45"/>
      <c r="I870" s="45"/>
      <c r="J870" s="45"/>
      <c r="K870" s="45"/>
      <c r="L870" s="45"/>
    </row>
    <row r="871" customHeight="1" spans="1:12">
      <c r="A871" s="45"/>
      <c r="B871" s="60"/>
      <c r="D871" s="44"/>
      <c r="G871" s="45"/>
      <c r="H871" s="45"/>
      <c r="I871" s="45"/>
      <c r="J871" s="45"/>
      <c r="K871" s="45"/>
      <c r="L871" s="45"/>
    </row>
    <row r="872" customHeight="1" spans="1:12">
      <c r="A872" s="45"/>
      <c r="B872" s="60"/>
      <c r="D872" s="44"/>
      <c r="G872" s="45"/>
      <c r="H872" s="45"/>
      <c r="I872" s="45"/>
      <c r="J872" s="45"/>
      <c r="K872" s="45"/>
      <c r="L872" s="45"/>
    </row>
    <row r="873" customHeight="1" spans="1:12">
      <c r="A873" s="45"/>
      <c r="B873" s="60"/>
      <c r="D873" s="44"/>
      <c r="G873" s="45"/>
      <c r="H873" s="45"/>
      <c r="I873" s="45"/>
      <c r="J873" s="45"/>
      <c r="K873" s="45"/>
      <c r="L873" s="45"/>
    </row>
    <row r="874" customHeight="1" spans="1:12">
      <c r="A874" s="45"/>
      <c r="B874" s="60"/>
      <c r="D874" s="44"/>
      <c r="G874" s="45"/>
      <c r="H874" s="45"/>
      <c r="I874" s="45"/>
      <c r="J874" s="45"/>
      <c r="K874" s="45"/>
      <c r="L874" s="45"/>
    </row>
    <row r="875" customHeight="1" spans="1:12">
      <c r="A875" s="45"/>
      <c r="B875" s="60"/>
      <c r="D875" s="44"/>
      <c r="G875" s="45"/>
      <c r="H875" s="45"/>
      <c r="I875" s="45"/>
      <c r="J875" s="45"/>
      <c r="K875" s="45"/>
      <c r="L875" s="45"/>
    </row>
    <row r="876" customHeight="1" spans="1:12">
      <c r="A876" s="45"/>
      <c r="B876" s="60"/>
      <c r="D876" s="44"/>
      <c r="G876" s="45"/>
      <c r="H876" s="45"/>
      <c r="I876" s="45"/>
      <c r="J876" s="45"/>
      <c r="K876" s="45"/>
      <c r="L876" s="45"/>
    </row>
    <row r="877" customHeight="1" spans="1:12">
      <c r="A877" s="45"/>
      <c r="B877" s="60"/>
      <c r="D877" s="44"/>
      <c r="G877" s="45"/>
      <c r="H877" s="45"/>
      <c r="I877" s="45"/>
      <c r="J877" s="45"/>
      <c r="K877" s="45"/>
      <c r="L877" s="45"/>
    </row>
    <row r="878" customHeight="1" spans="1:12">
      <c r="A878" s="45"/>
      <c r="B878" s="60"/>
      <c r="D878" s="44"/>
      <c r="G878" s="45"/>
      <c r="H878" s="45"/>
      <c r="I878" s="45"/>
      <c r="J878" s="45"/>
      <c r="K878" s="45"/>
      <c r="L878" s="45"/>
    </row>
    <row r="879" customHeight="1" spans="1:12">
      <c r="A879" s="45"/>
      <c r="B879" s="60"/>
      <c r="D879" s="44"/>
      <c r="G879" s="45"/>
      <c r="H879" s="45"/>
      <c r="I879" s="45"/>
      <c r="J879" s="45"/>
      <c r="K879" s="45"/>
      <c r="L879" s="45"/>
    </row>
    <row r="880" customHeight="1" spans="1:12">
      <c r="A880" s="45"/>
      <c r="B880" s="60"/>
      <c r="D880" s="44"/>
      <c r="G880" s="45"/>
      <c r="H880" s="45"/>
      <c r="I880" s="45"/>
      <c r="J880" s="45"/>
      <c r="K880" s="45"/>
      <c r="L880" s="45"/>
    </row>
    <row r="881" customHeight="1" spans="1:12">
      <c r="A881" s="45"/>
      <c r="B881" s="60"/>
      <c r="D881" s="44"/>
      <c r="G881" s="45"/>
      <c r="H881" s="45"/>
      <c r="I881" s="45"/>
      <c r="J881" s="45"/>
      <c r="K881" s="45"/>
      <c r="L881" s="45"/>
    </row>
    <row r="882" customHeight="1" spans="1:12">
      <c r="A882" s="45"/>
      <c r="B882" s="60"/>
      <c r="D882" s="44"/>
      <c r="G882" s="45"/>
      <c r="H882" s="45"/>
      <c r="I882" s="45"/>
      <c r="J882" s="45"/>
      <c r="K882" s="45"/>
      <c r="L882" s="45"/>
    </row>
    <row r="883" customHeight="1" spans="1:12">
      <c r="A883" s="45"/>
      <c r="B883" s="60"/>
      <c r="D883" s="44"/>
      <c r="G883" s="45"/>
      <c r="H883" s="45"/>
      <c r="I883" s="45"/>
      <c r="J883" s="45"/>
      <c r="K883" s="45"/>
      <c r="L883" s="45"/>
    </row>
    <row r="884" customHeight="1" spans="1:12">
      <c r="A884" s="45"/>
      <c r="B884" s="60"/>
      <c r="D884" s="44"/>
      <c r="G884" s="45"/>
      <c r="H884" s="45"/>
      <c r="I884" s="45"/>
      <c r="J884" s="45"/>
      <c r="K884" s="45"/>
      <c r="L884" s="45"/>
    </row>
    <row r="885" customHeight="1" spans="1:12">
      <c r="A885" s="45"/>
      <c r="B885" s="60"/>
      <c r="D885" s="44"/>
      <c r="G885" s="45"/>
      <c r="H885" s="45"/>
      <c r="I885" s="45"/>
      <c r="J885" s="45"/>
      <c r="K885" s="45"/>
      <c r="L885" s="45"/>
    </row>
    <row r="886" customHeight="1" spans="1:12">
      <c r="A886" s="45"/>
      <c r="B886" s="60"/>
      <c r="D886" s="44"/>
      <c r="G886" s="45"/>
      <c r="H886" s="45"/>
      <c r="I886" s="45"/>
      <c r="J886" s="45"/>
      <c r="K886" s="45"/>
      <c r="L886" s="45"/>
    </row>
    <row r="887" customHeight="1" spans="1:12">
      <c r="A887" s="45"/>
      <c r="B887" s="60"/>
      <c r="D887" s="44"/>
      <c r="G887" s="45"/>
      <c r="H887" s="45"/>
      <c r="I887" s="45"/>
      <c r="J887" s="45"/>
      <c r="K887" s="45"/>
      <c r="L887" s="45"/>
    </row>
    <row r="888" customHeight="1" spans="1:12">
      <c r="A888" s="45"/>
      <c r="B888" s="60"/>
      <c r="D888" s="44"/>
      <c r="G888" s="45"/>
      <c r="H888" s="45"/>
      <c r="I888" s="45"/>
      <c r="J888" s="45"/>
      <c r="K888" s="45"/>
      <c r="L888" s="45"/>
    </row>
    <row r="889" customHeight="1" spans="1:12">
      <c r="A889" s="45"/>
      <c r="B889" s="60"/>
      <c r="D889" s="44"/>
      <c r="G889" s="45"/>
      <c r="H889" s="45"/>
      <c r="I889" s="45"/>
      <c r="J889" s="45"/>
      <c r="K889" s="45"/>
      <c r="L889" s="45"/>
    </row>
    <row r="890" customHeight="1" spans="1:12">
      <c r="A890" s="45"/>
      <c r="B890" s="60"/>
      <c r="D890" s="44"/>
      <c r="G890" s="45"/>
      <c r="H890" s="45"/>
      <c r="I890" s="45"/>
      <c r="J890" s="45"/>
      <c r="K890" s="45"/>
      <c r="L890" s="45"/>
    </row>
    <row r="891" customHeight="1" spans="1:12">
      <c r="A891" s="45"/>
      <c r="B891" s="60"/>
      <c r="D891" s="44"/>
      <c r="G891" s="45"/>
      <c r="H891" s="45"/>
      <c r="I891" s="45"/>
      <c r="J891" s="45"/>
      <c r="K891" s="45"/>
      <c r="L891" s="45"/>
    </row>
    <row r="892" customHeight="1" spans="1:12">
      <c r="A892" s="45"/>
      <c r="B892" s="60"/>
      <c r="D892" s="44"/>
      <c r="G892" s="45"/>
      <c r="H892" s="45"/>
      <c r="I892" s="45"/>
      <c r="J892" s="45"/>
      <c r="K892" s="45"/>
      <c r="L892" s="45"/>
    </row>
    <row r="893" customHeight="1" spans="1:12">
      <c r="A893" s="45"/>
      <c r="B893" s="60"/>
      <c r="D893" s="44"/>
      <c r="G893" s="45"/>
      <c r="H893" s="45"/>
      <c r="I893" s="45"/>
      <c r="J893" s="45"/>
      <c r="K893" s="45"/>
      <c r="L893" s="45"/>
    </row>
    <row r="894" customHeight="1" spans="1:12">
      <c r="A894" s="45"/>
      <c r="B894" s="60"/>
      <c r="D894" s="44"/>
      <c r="G894" s="45"/>
      <c r="H894" s="45"/>
      <c r="I894" s="45"/>
      <c r="J894" s="45"/>
      <c r="K894" s="45"/>
      <c r="L894" s="45"/>
    </row>
    <row r="895" customHeight="1" spans="1:12">
      <c r="A895" s="45"/>
      <c r="B895" s="60"/>
      <c r="D895" s="44"/>
      <c r="G895" s="45"/>
      <c r="H895" s="45"/>
      <c r="I895" s="45"/>
      <c r="J895" s="45"/>
      <c r="K895" s="45"/>
      <c r="L895" s="45"/>
    </row>
    <row r="896" customHeight="1" spans="1:12">
      <c r="A896" s="45"/>
      <c r="B896" s="60"/>
      <c r="D896" s="44"/>
      <c r="G896" s="45"/>
      <c r="H896" s="45"/>
      <c r="I896" s="45"/>
      <c r="J896" s="45"/>
      <c r="K896" s="45"/>
      <c r="L896" s="45"/>
    </row>
    <row r="897" customHeight="1" spans="1:12">
      <c r="A897" s="45"/>
      <c r="B897" s="60"/>
      <c r="D897" s="44"/>
      <c r="G897" s="45"/>
      <c r="H897" s="45"/>
      <c r="I897" s="45"/>
      <c r="J897" s="45"/>
      <c r="K897" s="45"/>
      <c r="L897" s="45"/>
    </row>
    <row r="898" customHeight="1" spans="1:12">
      <c r="A898" s="45"/>
      <c r="B898" s="60"/>
      <c r="D898" s="44"/>
      <c r="G898" s="45"/>
      <c r="H898" s="45"/>
      <c r="I898" s="45"/>
      <c r="J898" s="45"/>
      <c r="K898" s="45"/>
      <c r="L898" s="45"/>
    </row>
    <row r="899" customHeight="1" spans="1:12">
      <c r="A899" s="45"/>
      <c r="B899" s="60"/>
      <c r="D899" s="44"/>
      <c r="G899" s="45"/>
      <c r="H899" s="45"/>
      <c r="I899" s="45"/>
      <c r="J899" s="45"/>
      <c r="K899" s="45"/>
      <c r="L899" s="45"/>
    </row>
    <row r="900" customHeight="1" spans="1:12">
      <c r="A900" s="45"/>
      <c r="B900" s="60"/>
      <c r="D900" s="44"/>
      <c r="G900" s="45"/>
      <c r="H900" s="45"/>
      <c r="I900" s="45"/>
      <c r="J900" s="45"/>
      <c r="K900" s="45"/>
      <c r="L900" s="45"/>
    </row>
    <row r="901" customHeight="1" spans="1:12">
      <c r="A901" s="45"/>
      <c r="B901" s="60"/>
      <c r="D901" s="44"/>
      <c r="G901" s="45"/>
      <c r="H901" s="45"/>
      <c r="I901" s="45"/>
      <c r="J901" s="45"/>
      <c r="K901" s="45"/>
      <c r="L901" s="45"/>
    </row>
    <row r="902" customHeight="1" spans="1:12">
      <c r="A902" s="45"/>
      <c r="B902" s="60"/>
      <c r="D902" s="44"/>
      <c r="G902" s="45"/>
      <c r="H902" s="45"/>
      <c r="I902" s="45"/>
      <c r="J902" s="45"/>
      <c r="K902" s="45"/>
      <c r="L902" s="45"/>
    </row>
    <row r="903" customHeight="1" spans="1:12">
      <c r="A903" s="45"/>
      <c r="B903" s="60"/>
      <c r="D903" s="44"/>
      <c r="G903" s="45"/>
      <c r="H903" s="45"/>
      <c r="I903" s="45"/>
      <c r="J903" s="45"/>
      <c r="K903" s="45"/>
      <c r="L903" s="45"/>
    </row>
    <row r="904" customHeight="1" spans="1:12">
      <c r="A904" s="45"/>
      <c r="B904" s="60"/>
      <c r="D904" s="44"/>
      <c r="G904" s="45"/>
      <c r="H904" s="45"/>
      <c r="I904" s="45"/>
      <c r="J904" s="45"/>
      <c r="K904" s="45"/>
      <c r="L904" s="45"/>
    </row>
    <row r="905" customHeight="1" spans="1:12">
      <c r="A905" s="45"/>
      <c r="B905" s="60"/>
      <c r="D905" s="44"/>
      <c r="G905" s="45"/>
      <c r="H905" s="45"/>
      <c r="I905" s="45"/>
      <c r="J905" s="45"/>
      <c r="K905" s="45"/>
      <c r="L905" s="45"/>
    </row>
    <row r="906" customHeight="1" spans="1:12">
      <c r="A906" s="45"/>
      <c r="B906" s="60"/>
      <c r="D906" s="44"/>
      <c r="G906" s="45"/>
      <c r="H906" s="45"/>
      <c r="I906" s="45"/>
      <c r="J906" s="45"/>
      <c r="K906" s="45"/>
      <c r="L906" s="45"/>
    </row>
    <row r="907" customHeight="1" spans="1:12">
      <c r="A907" s="45"/>
      <c r="B907" s="60"/>
      <c r="D907" s="44"/>
      <c r="G907" s="45"/>
      <c r="H907" s="45"/>
      <c r="I907" s="45"/>
      <c r="J907" s="45"/>
      <c r="K907" s="45"/>
      <c r="L907" s="45"/>
    </row>
    <row r="908" customHeight="1" spans="1:12">
      <c r="A908" s="45"/>
      <c r="B908" s="60"/>
      <c r="D908" s="44"/>
      <c r="G908" s="45"/>
      <c r="H908" s="45"/>
      <c r="I908" s="45"/>
      <c r="J908" s="45"/>
      <c r="K908" s="45"/>
      <c r="L908" s="45"/>
    </row>
    <row r="909" customHeight="1" spans="1:12">
      <c r="A909" s="45"/>
      <c r="B909" s="60"/>
      <c r="D909" s="44"/>
      <c r="G909" s="45"/>
      <c r="H909" s="45"/>
      <c r="I909" s="45"/>
      <c r="J909" s="45"/>
      <c r="K909" s="45"/>
      <c r="L909" s="45"/>
    </row>
    <row r="910" customHeight="1" spans="1:12">
      <c r="A910" s="45"/>
      <c r="B910" s="60"/>
      <c r="D910" s="44"/>
      <c r="G910" s="45"/>
      <c r="H910" s="45"/>
      <c r="I910" s="45"/>
      <c r="J910" s="45"/>
      <c r="K910" s="45"/>
      <c r="L910" s="45"/>
    </row>
    <row r="911" customHeight="1" spans="1:12">
      <c r="A911" s="45"/>
      <c r="B911" s="60"/>
      <c r="D911" s="44"/>
      <c r="G911" s="45"/>
      <c r="H911" s="45"/>
      <c r="I911" s="45"/>
      <c r="J911" s="45"/>
      <c r="K911" s="45"/>
      <c r="L911" s="45"/>
    </row>
    <row r="912" customHeight="1" spans="1:12">
      <c r="A912" s="45"/>
      <c r="B912" s="60"/>
      <c r="D912" s="44"/>
      <c r="G912" s="45"/>
      <c r="H912" s="45"/>
      <c r="I912" s="45"/>
      <c r="J912" s="45"/>
      <c r="K912" s="45"/>
      <c r="L912" s="45"/>
    </row>
    <row r="913" customHeight="1" spans="1:12">
      <c r="A913" s="45"/>
      <c r="B913" s="60"/>
      <c r="D913" s="44"/>
      <c r="G913" s="45"/>
      <c r="H913" s="45"/>
      <c r="I913" s="45"/>
      <c r="J913" s="45"/>
      <c r="K913" s="45"/>
      <c r="L913" s="45"/>
    </row>
    <row r="914" customHeight="1" spans="1:12">
      <c r="A914" s="45"/>
      <c r="B914" s="60"/>
      <c r="D914" s="44"/>
      <c r="G914" s="45"/>
      <c r="H914" s="45"/>
      <c r="I914" s="45"/>
      <c r="J914" s="45"/>
      <c r="K914" s="45"/>
      <c r="L914" s="45"/>
    </row>
    <row r="915" customHeight="1" spans="1:12">
      <c r="A915" s="45"/>
      <c r="B915" s="60"/>
      <c r="D915" s="44"/>
      <c r="G915" s="45"/>
      <c r="H915" s="45"/>
      <c r="I915" s="45"/>
      <c r="J915" s="45"/>
      <c r="K915" s="45"/>
      <c r="L915" s="45"/>
    </row>
    <row r="916" customHeight="1" spans="1:12">
      <c r="A916" s="45"/>
      <c r="B916" s="60"/>
      <c r="D916" s="44"/>
      <c r="G916" s="45"/>
      <c r="H916" s="45"/>
      <c r="I916" s="45"/>
      <c r="J916" s="45"/>
      <c r="K916" s="45"/>
      <c r="L916" s="45"/>
    </row>
    <row r="917" customHeight="1" spans="1:12">
      <c r="A917" s="45"/>
      <c r="B917" s="60"/>
      <c r="D917" s="44"/>
      <c r="G917" s="45"/>
      <c r="H917" s="45"/>
      <c r="I917" s="45"/>
      <c r="J917" s="45"/>
      <c r="K917" s="45"/>
      <c r="L917" s="45"/>
    </row>
    <row r="918" customHeight="1" spans="1:12">
      <c r="A918" s="45"/>
      <c r="B918" s="60"/>
      <c r="D918" s="44"/>
      <c r="G918" s="45"/>
      <c r="H918" s="45"/>
      <c r="I918" s="45"/>
      <c r="J918" s="45"/>
      <c r="K918" s="45"/>
      <c r="L918" s="45"/>
    </row>
    <row r="919" customHeight="1" spans="1:12">
      <c r="A919" s="45"/>
      <c r="B919" s="60"/>
      <c r="D919" s="44"/>
      <c r="G919" s="45"/>
      <c r="H919" s="45"/>
      <c r="I919" s="45"/>
      <c r="J919" s="45"/>
      <c r="K919" s="45"/>
      <c r="L919" s="45"/>
    </row>
    <row r="920" customHeight="1" spans="1:12">
      <c r="A920" s="45"/>
      <c r="B920" s="60"/>
      <c r="D920" s="44"/>
      <c r="G920" s="45"/>
      <c r="H920" s="45"/>
      <c r="I920" s="45"/>
      <c r="J920" s="45"/>
      <c r="K920" s="45"/>
      <c r="L920" s="45"/>
    </row>
    <row r="921" customHeight="1" spans="1:12">
      <c r="A921" s="45"/>
      <c r="B921" s="60"/>
      <c r="D921" s="44"/>
      <c r="G921" s="45"/>
      <c r="H921" s="45"/>
      <c r="I921" s="45"/>
      <c r="J921" s="45"/>
      <c r="K921" s="45"/>
      <c r="L921" s="45"/>
    </row>
    <row r="922" customHeight="1" spans="1:12">
      <c r="A922" s="45"/>
      <c r="B922" s="60"/>
      <c r="D922" s="44"/>
      <c r="G922" s="45"/>
      <c r="H922" s="45"/>
      <c r="I922" s="45"/>
      <c r="J922" s="45"/>
      <c r="K922" s="45"/>
      <c r="L922" s="45"/>
    </row>
    <row r="923" customHeight="1" spans="1:12">
      <c r="A923" s="45"/>
      <c r="B923" s="60"/>
      <c r="D923" s="44"/>
      <c r="G923" s="45"/>
      <c r="H923" s="45"/>
      <c r="I923" s="45"/>
      <c r="J923" s="45"/>
      <c r="K923" s="45"/>
      <c r="L923" s="45"/>
    </row>
    <row r="924" customHeight="1" spans="1:12">
      <c r="A924" s="45"/>
      <c r="B924" s="60"/>
      <c r="D924" s="44"/>
      <c r="G924" s="45"/>
      <c r="H924" s="45"/>
      <c r="I924" s="45"/>
      <c r="J924" s="45"/>
      <c r="K924" s="45"/>
      <c r="L924" s="45"/>
    </row>
    <row r="925" customHeight="1" spans="1:12">
      <c r="A925" s="45"/>
      <c r="B925" s="60"/>
      <c r="D925" s="44"/>
      <c r="G925" s="45"/>
      <c r="H925" s="45"/>
      <c r="I925" s="45"/>
      <c r="J925" s="45"/>
      <c r="K925" s="45"/>
      <c r="L925" s="45"/>
    </row>
    <row r="926" customHeight="1" spans="1:12">
      <c r="A926" s="45"/>
      <c r="B926" s="60"/>
      <c r="D926" s="44"/>
      <c r="G926" s="45"/>
      <c r="H926" s="45"/>
      <c r="I926" s="45"/>
      <c r="J926" s="45"/>
      <c r="K926" s="45"/>
      <c r="L926" s="45"/>
    </row>
    <row r="927" customHeight="1" spans="1:12">
      <c r="A927" s="45"/>
      <c r="B927" s="60"/>
      <c r="D927" s="44"/>
      <c r="G927" s="45"/>
      <c r="H927" s="45"/>
      <c r="I927" s="45"/>
      <c r="J927" s="45"/>
      <c r="K927" s="45"/>
      <c r="L927" s="45"/>
    </row>
    <row r="928" customHeight="1" spans="1:12">
      <c r="A928" s="45"/>
      <c r="B928" s="60"/>
      <c r="D928" s="44"/>
      <c r="G928" s="45"/>
      <c r="H928" s="45"/>
      <c r="I928" s="45"/>
      <c r="J928" s="45"/>
      <c r="K928" s="45"/>
      <c r="L928" s="45"/>
    </row>
    <row r="929" customHeight="1" spans="1:12">
      <c r="A929" s="45"/>
      <c r="B929" s="60"/>
      <c r="D929" s="44"/>
      <c r="G929" s="45"/>
      <c r="H929" s="45"/>
      <c r="I929" s="45"/>
      <c r="J929" s="45"/>
      <c r="K929" s="45"/>
      <c r="L929" s="45"/>
    </row>
    <row r="930" customHeight="1" spans="1:12">
      <c r="A930" s="45"/>
      <c r="B930" s="60"/>
      <c r="D930" s="44"/>
      <c r="G930" s="45"/>
      <c r="H930" s="45"/>
      <c r="I930" s="45"/>
      <c r="J930" s="45"/>
      <c r="K930" s="45"/>
      <c r="L930" s="45"/>
    </row>
    <row r="931" customHeight="1" spans="1:12">
      <c r="A931" s="45"/>
      <c r="B931" s="60"/>
      <c r="D931" s="44"/>
      <c r="G931" s="45"/>
      <c r="H931" s="45"/>
      <c r="I931" s="45"/>
      <c r="J931" s="45"/>
      <c r="K931" s="45"/>
      <c r="L931" s="45"/>
    </row>
    <row r="932" customHeight="1" spans="1:12">
      <c r="A932" s="45"/>
      <c r="B932" s="60"/>
      <c r="D932" s="44"/>
      <c r="G932" s="45"/>
      <c r="H932" s="45"/>
      <c r="I932" s="45"/>
      <c r="J932" s="45"/>
      <c r="K932" s="45"/>
      <c r="L932" s="45"/>
    </row>
    <row r="933" customHeight="1" spans="1:12">
      <c r="A933" s="45"/>
      <c r="B933" s="60"/>
      <c r="D933" s="44"/>
      <c r="G933" s="45"/>
      <c r="H933" s="45"/>
      <c r="I933" s="45"/>
      <c r="J933" s="45"/>
      <c r="K933" s="45"/>
      <c r="L933" s="45"/>
    </row>
    <row r="934" customHeight="1" spans="1:12">
      <c r="A934" s="45"/>
      <c r="B934" s="60"/>
      <c r="D934" s="44"/>
      <c r="G934" s="45"/>
      <c r="H934" s="45"/>
      <c r="I934" s="45"/>
      <c r="J934" s="45"/>
      <c r="K934" s="45"/>
      <c r="L934" s="45"/>
    </row>
    <row r="935" customHeight="1" spans="1:12">
      <c r="A935" s="45"/>
      <c r="B935" s="60"/>
      <c r="D935" s="44"/>
      <c r="G935" s="45"/>
      <c r="H935" s="45"/>
      <c r="I935" s="45"/>
      <c r="J935" s="45"/>
      <c r="K935" s="45"/>
      <c r="L935" s="45"/>
    </row>
    <row r="936" customHeight="1" spans="1:12">
      <c r="A936" s="45"/>
      <c r="B936" s="60"/>
      <c r="D936" s="44"/>
      <c r="G936" s="45"/>
      <c r="H936" s="45"/>
      <c r="I936" s="45"/>
      <c r="J936" s="45"/>
      <c r="K936" s="45"/>
      <c r="L936" s="45"/>
    </row>
    <row r="937" customHeight="1" spans="1:12">
      <c r="A937" s="45"/>
      <c r="B937" s="60"/>
      <c r="D937" s="44"/>
      <c r="G937" s="45"/>
      <c r="H937" s="45"/>
      <c r="I937" s="45"/>
      <c r="J937" s="45"/>
      <c r="K937" s="45"/>
      <c r="L937" s="45"/>
    </row>
    <row r="938" customHeight="1" spans="1:12">
      <c r="A938" s="45"/>
      <c r="B938" s="60"/>
      <c r="D938" s="44"/>
      <c r="G938" s="45"/>
      <c r="H938" s="45"/>
      <c r="I938" s="45"/>
      <c r="J938" s="45"/>
      <c r="K938" s="45"/>
      <c r="L938" s="45"/>
    </row>
    <row r="939" customHeight="1" spans="1:12">
      <c r="A939" s="45"/>
      <c r="B939" s="60"/>
      <c r="D939" s="44"/>
      <c r="G939" s="45"/>
      <c r="H939" s="45"/>
      <c r="I939" s="45"/>
      <c r="J939" s="45"/>
      <c r="K939" s="45"/>
      <c r="L939" s="45"/>
    </row>
    <row r="940" customHeight="1" spans="1:12">
      <c r="A940" s="45"/>
      <c r="B940" s="60"/>
      <c r="D940" s="44"/>
      <c r="G940" s="45"/>
      <c r="H940" s="45"/>
      <c r="I940" s="45"/>
      <c r="J940" s="45"/>
      <c r="K940" s="45"/>
      <c r="L940" s="45"/>
    </row>
    <row r="941" customHeight="1" spans="1:12">
      <c r="A941" s="45"/>
      <c r="B941" s="60"/>
      <c r="D941" s="44"/>
      <c r="G941" s="45"/>
      <c r="H941" s="45"/>
      <c r="I941" s="45"/>
      <c r="J941" s="45"/>
      <c r="K941" s="45"/>
      <c r="L941" s="45"/>
    </row>
    <row r="942" customHeight="1" spans="1:12">
      <c r="A942" s="45"/>
      <c r="B942" s="60"/>
      <c r="D942" s="44"/>
      <c r="G942" s="45"/>
      <c r="H942" s="45"/>
      <c r="I942" s="45"/>
      <c r="J942" s="45"/>
      <c r="K942" s="45"/>
      <c r="L942" s="45"/>
    </row>
    <row r="943" customHeight="1" spans="1:12">
      <c r="A943" s="45"/>
      <c r="B943" s="60"/>
      <c r="D943" s="44"/>
      <c r="G943" s="45"/>
      <c r="H943" s="45"/>
      <c r="I943" s="45"/>
      <c r="J943" s="45"/>
      <c r="K943" s="45"/>
      <c r="L943" s="45"/>
    </row>
    <row r="944" customHeight="1" spans="1:12">
      <c r="A944" s="45"/>
      <c r="B944" s="60"/>
      <c r="D944" s="44"/>
      <c r="G944" s="45"/>
      <c r="H944" s="45"/>
      <c r="I944" s="45"/>
      <c r="J944" s="45"/>
      <c r="K944" s="45"/>
      <c r="L944" s="45"/>
    </row>
    <row r="945" customHeight="1" spans="1:12">
      <c r="A945" s="45"/>
      <c r="B945" s="60"/>
      <c r="D945" s="44"/>
      <c r="G945" s="45"/>
      <c r="H945" s="45"/>
      <c r="I945" s="45"/>
      <c r="J945" s="45"/>
      <c r="K945" s="45"/>
      <c r="L945" s="45"/>
    </row>
    <row r="946" customHeight="1" spans="1:12">
      <c r="A946" s="45"/>
      <c r="B946" s="60"/>
      <c r="D946" s="44"/>
      <c r="G946" s="45"/>
      <c r="H946" s="45"/>
      <c r="I946" s="45"/>
      <c r="J946" s="45"/>
      <c r="K946" s="45"/>
      <c r="L946" s="45"/>
    </row>
    <row r="947" customHeight="1" spans="1:12">
      <c r="A947" s="45"/>
      <c r="B947" s="60"/>
      <c r="D947" s="44"/>
      <c r="G947" s="45"/>
      <c r="H947" s="45"/>
      <c r="I947" s="45"/>
      <c r="J947" s="45"/>
      <c r="K947" s="45"/>
      <c r="L947" s="45"/>
    </row>
    <row r="948" customHeight="1" spans="1:12">
      <c r="A948" s="45"/>
      <c r="B948" s="60"/>
      <c r="D948" s="44"/>
      <c r="G948" s="45"/>
      <c r="H948" s="45"/>
      <c r="I948" s="45"/>
      <c r="J948" s="45"/>
      <c r="K948" s="45"/>
      <c r="L948" s="45"/>
    </row>
    <row r="949" customHeight="1" spans="1:12">
      <c r="A949" s="45"/>
      <c r="B949" s="60"/>
      <c r="D949" s="44"/>
      <c r="G949" s="45"/>
      <c r="H949" s="45"/>
      <c r="I949" s="45"/>
      <c r="J949" s="45"/>
      <c r="K949" s="45"/>
      <c r="L949" s="45"/>
    </row>
    <row r="950" customHeight="1" spans="1:12">
      <c r="A950" s="45"/>
      <c r="B950" s="60"/>
      <c r="D950" s="44"/>
      <c r="G950" s="45"/>
      <c r="H950" s="45"/>
      <c r="I950" s="45"/>
      <c r="J950" s="45"/>
      <c r="K950" s="45"/>
      <c r="L950" s="45"/>
    </row>
    <row r="951" customHeight="1" spans="1:12">
      <c r="A951" s="45"/>
      <c r="B951" s="60"/>
      <c r="D951" s="44"/>
      <c r="G951" s="45"/>
      <c r="H951" s="45"/>
      <c r="I951" s="45"/>
      <c r="J951" s="45"/>
      <c r="K951" s="45"/>
      <c r="L951" s="45"/>
    </row>
    <row r="952" customHeight="1" spans="1:12">
      <c r="A952" s="45"/>
      <c r="B952" s="60"/>
      <c r="D952" s="44"/>
      <c r="G952" s="45"/>
      <c r="H952" s="45"/>
      <c r="I952" s="45"/>
      <c r="J952" s="45"/>
      <c r="K952" s="45"/>
      <c r="L952" s="45"/>
    </row>
    <row r="953" customHeight="1" spans="1:12">
      <c r="A953" s="45"/>
      <c r="B953" s="60"/>
      <c r="D953" s="44"/>
      <c r="G953" s="45"/>
      <c r="H953" s="45"/>
      <c r="I953" s="45"/>
      <c r="J953" s="45"/>
      <c r="K953" s="45"/>
      <c r="L953" s="45"/>
    </row>
    <row r="954" customHeight="1" spans="1:12">
      <c r="A954" s="45"/>
      <c r="B954" s="60"/>
      <c r="D954" s="44"/>
      <c r="G954" s="45"/>
      <c r="H954" s="45"/>
      <c r="I954" s="45"/>
      <c r="J954" s="45"/>
      <c r="K954" s="45"/>
      <c r="L954" s="45"/>
    </row>
    <row r="955" customHeight="1" spans="1:12">
      <c r="A955" s="45"/>
      <c r="B955" s="60"/>
      <c r="D955" s="44"/>
      <c r="G955" s="45"/>
      <c r="H955" s="45"/>
      <c r="I955" s="45"/>
      <c r="J955" s="45"/>
      <c r="K955" s="45"/>
      <c r="L955" s="45"/>
    </row>
    <row r="956" customHeight="1" spans="1:12">
      <c r="A956" s="45"/>
      <c r="B956" s="60"/>
      <c r="D956" s="44"/>
      <c r="G956" s="45"/>
      <c r="H956" s="45"/>
      <c r="I956" s="45"/>
      <c r="J956" s="45"/>
      <c r="K956" s="45"/>
      <c r="L956" s="45"/>
    </row>
    <row r="957" customHeight="1" spans="1:12">
      <c r="A957" s="45"/>
      <c r="B957" s="60"/>
      <c r="D957" s="44"/>
      <c r="G957" s="45"/>
      <c r="H957" s="45"/>
      <c r="I957" s="45"/>
      <c r="J957" s="45"/>
      <c r="K957" s="45"/>
      <c r="L957" s="45"/>
    </row>
    <row r="958" customHeight="1" spans="1:12">
      <c r="A958" s="45"/>
      <c r="B958" s="60"/>
      <c r="D958" s="44"/>
      <c r="G958" s="45"/>
      <c r="H958" s="45"/>
      <c r="I958" s="45"/>
      <c r="J958" s="45"/>
      <c r="K958" s="45"/>
      <c r="L958" s="45"/>
    </row>
    <row r="959" customHeight="1" spans="1:12">
      <c r="A959" s="45"/>
      <c r="B959" s="60"/>
      <c r="D959" s="44"/>
      <c r="G959" s="45"/>
      <c r="H959" s="45"/>
      <c r="I959" s="45"/>
      <c r="J959" s="45"/>
      <c r="K959" s="45"/>
      <c r="L959" s="45"/>
    </row>
    <row r="960" customHeight="1" spans="1:12">
      <c r="A960" s="45"/>
      <c r="B960" s="60"/>
      <c r="D960" s="44"/>
      <c r="G960" s="45"/>
      <c r="H960" s="45"/>
      <c r="I960" s="45"/>
      <c r="J960" s="45"/>
      <c r="K960" s="45"/>
      <c r="L960" s="45"/>
    </row>
    <row r="961" customHeight="1" spans="1:12">
      <c r="A961" s="45"/>
      <c r="B961" s="60"/>
      <c r="D961" s="44"/>
      <c r="G961" s="45"/>
      <c r="H961" s="45"/>
      <c r="I961" s="45"/>
      <c r="J961" s="45"/>
      <c r="K961" s="45"/>
      <c r="L961" s="45"/>
    </row>
    <row r="962" customHeight="1" spans="1:12">
      <c r="A962" s="45"/>
      <c r="B962" s="60"/>
      <c r="D962" s="44"/>
      <c r="G962" s="45"/>
      <c r="H962" s="45"/>
      <c r="I962" s="45"/>
      <c r="J962" s="45"/>
      <c r="K962" s="45"/>
      <c r="L962" s="45"/>
    </row>
    <row r="963" customHeight="1" spans="1:12">
      <c r="A963" s="45"/>
      <c r="B963" s="60"/>
      <c r="D963" s="44"/>
      <c r="G963" s="45"/>
      <c r="H963" s="45"/>
      <c r="I963" s="45"/>
      <c r="J963" s="45"/>
      <c r="K963" s="45"/>
      <c r="L963" s="45"/>
    </row>
    <row r="964" customHeight="1" spans="1:12">
      <c r="A964" s="45"/>
      <c r="B964" s="60"/>
      <c r="D964" s="44"/>
      <c r="G964" s="45"/>
      <c r="H964" s="45"/>
      <c r="I964" s="45"/>
      <c r="J964" s="45"/>
      <c r="K964" s="45"/>
      <c r="L964" s="45"/>
    </row>
    <row r="965" customHeight="1" spans="1:12">
      <c r="A965" s="45"/>
      <c r="B965" s="60"/>
      <c r="D965" s="44"/>
      <c r="G965" s="45"/>
      <c r="H965" s="45"/>
      <c r="I965" s="45"/>
      <c r="J965" s="45"/>
      <c r="K965" s="45"/>
      <c r="L965" s="45"/>
    </row>
    <row r="966" customHeight="1" spans="1:12">
      <c r="A966" s="45"/>
      <c r="B966" s="60"/>
      <c r="D966" s="44"/>
      <c r="G966" s="45"/>
      <c r="H966" s="45"/>
      <c r="I966" s="45"/>
      <c r="J966" s="45"/>
      <c r="K966" s="45"/>
      <c r="L966" s="45"/>
    </row>
    <row r="967" customHeight="1" spans="1:12">
      <c r="A967" s="45"/>
      <c r="B967" s="60"/>
      <c r="D967" s="44"/>
      <c r="G967" s="45"/>
      <c r="H967" s="45"/>
      <c r="I967" s="45"/>
      <c r="J967" s="45"/>
      <c r="K967" s="45"/>
      <c r="L967" s="45"/>
    </row>
    <row r="968" customHeight="1" spans="1:12">
      <c r="A968" s="45"/>
      <c r="B968" s="60"/>
      <c r="D968" s="44"/>
      <c r="G968" s="45"/>
      <c r="H968" s="45"/>
      <c r="I968" s="45"/>
      <c r="J968" s="45"/>
      <c r="K968" s="45"/>
      <c r="L968" s="45"/>
    </row>
    <row r="969" customHeight="1" spans="1:12">
      <c r="A969" s="45"/>
      <c r="B969" s="60"/>
      <c r="D969" s="44"/>
      <c r="G969" s="45"/>
      <c r="H969" s="45"/>
      <c r="I969" s="45"/>
      <c r="J969" s="45"/>
      <c r="K969" s="45"/>
      <c r="L969" s="45"/>
    </row>
    <row r="970" customHeight="1" spans="1:12">
      <c r="A970" s="45"/>
      <c r="B970" s="60"/>
      <c r="D970" s="44"/>
      <c r="G970" s="45"/>
      <c r="H970" s="45"/>
      <c r="I970" s="45"/>
      <c r="J970" s="45"/>
      <c r="K970" s="45"/>
      <c r="L970" s="45"/>
    </row>
    <row r="971" customHeight="1" spans="1:12">
      <c r="A971" s="45"/>
      <c r="B971" s="60"/>
      <c r="D971" s="44"/>
      <c r="G971" s="45"/>
      <c r="H971" s="45"/>
      <c r="I971" s="45"/>
      <c r="J971" s="45"/>
      <c r="K971" s="45"/>
      <c r="L971" s="45"/>
    </row>
    <row r="972" customHeight="1" spans="1:12">
      <c r="A972" s="45"/>
      <c r="B972" s="60"/>
      <c r="D972" s="44"/>
      <c r="G972" s="45"/>
      <c r="H972" s="45"/>
      <c r="I972" s="45"/>
      <c r="J972" s="45"/>
      <c r="K972" s="45"/>
      <c r="L972" s="45"/>
    </row>
    <row r="973" customHeight="1" spans="1:12">
      <c r="A973" s="45"/>
      <c r="B973" s="60"/>
      <c r="D973" s="44"/>
      <c r="G973" s="45"/>
      <c r="H973" s="45"/>
      <c r="I973" s="45"/>
      <c r="J973" s="45"/>
      <c r="K973" s="45"/>
      <c r="L973" s="45"/>
    </row>
    <row r="974" customHeight="1" spans="1:12">
      <c r="A974" s="45"/>
      <c r="B974" s="60"/>
      <c r="D974" s="44"/>
      <c r="G974" s="45"/>
      <c r="H974" s="45"/>
      <c r="I974" s="45"/>
      <c r="J974" s="45"/>
      <c r="K974" s="45"/>
      <c r="L974" s="45"/>
    </row>
    <row r="975" customHeight="1" spans="1:12">
      <c r="A975" s="45"/>
      <c r="B975" s="60"/>
      <c r="D975" s="44"/>
      <c r="G975" s="45"/>
      <c r="H975" s="45"/>
      <c r="I975" s="45"/>
      <c r="J975" s="45"/>
      <c r="K975" s="45"/>
      <c r="L975" s="45"/>
    </row>
    <row r="976" customHeight="1" spans="1:12">
      <c r="A976" s="45"/>
      <c r="B976" s="60"/>
      <c r="D976" s="44"/>
      <c r="G976" s="45"/>
      <c r="H976" s="45"/>
      <c r="I976" s="45"/>
      <c r="J976" s="45"/>
      <c r="K976" s="45"/>
      <c r="L976" s="45"/>
    </row>
    <row r="977" customHeight="1" spans="1:12">
      <c r="A977" s="45"/>
      <c r="B977" s="60"/>
      <c r="D977" s="44"/>
      <c r="G977" s="45"/>
      <c r="H977" s="45"/>
      <c r="I977" s="45"/>
      <c r="J977" s="45"/>
      <c r="K977" s="45"/>
      <c r="L977" s="45"/>
    </row>
    <row r="978" customHeight="1" spans="1:12">
      <c r="A978" s="45"/>
      <c r="B978" s="60"/>
      <c r="D978" s="44"/>
      <c r="G978" s="45"/>
      <c r="H978" s="45"/>
      <c r="I978" s="45"/>
      <c r="J978" s="45"/>
      <c r="K978" s="45"/>
      <c r="L978" s="45"/>
    </row>
    <row r="979" customHeight="1" spans="1:12">
      <c r="A979" s="45"/>
      <c r="B979" s="60"/>
      <c r="D979" s="44"/>
      <c r="G979" s="45"/>
      <c r="H979" s="45"/>
      <c r="I979" s="45"/>
      <c r="J979" s="45"/>
      <c r="K979" s="45"/>
      <c r="L979" s="45"/>
    </row>
    <row r="980" customHeight="1" spans="1:12">
      <c r="A980" s="45"/>
      <c r="B980" s="60"/>
      <c r="D980" s="44"/>
      <c r="G980" s="45"/>
      <c r="H980" s="45"/>
      <c r="I980" s="45"/>
      <c r="J980" s="45"/>
      <c r="K980" s="45"/>
      <c r="L980" s="45"/>
    </row>
    <row r="981" customHeight="1" spans="1:12">
      <c r="A981" s="45"/>
      <c r="B981" s="60"/>
      <c r="D981" s="44"/>
      <c r="G981" s="45"/>
      <c r="H981" s="45"/>
      <c r="I981" s="45"/>
      <c r="J981" s="45"/>
      <c r="K981" s="45"/>
      <c r="L981" s="45"/>
    </row>
    <row r="982" customHeight="1" spans="1:12">
      <c r="A982" s="45"/>
      <c r="B982" s="60"/>
      <c r="D982" s="44"/>
      <c r="G982" s="45"/>
      <c r="H982" s="45"/>
      <c r="I982" s="45"/>
      <c r="J982" s="45"/>
      <c r="K982" s="45"/>
      <c r="L982" s="45"/>
    </row>
    <row r="983" customHeight="1" spans="1:12">
      <c r="A983" s="45"/>
      <c r="B983" s="60"/>
      <c r="D983" s="44"/>
      <c r="G983" s="45"/>
      <c r="H983" s="45"/>
      <c r="I983" s="45"/>
      <c r="J983" s="45"/>
      <c r="K983" s="45"/>
      <c r="L983" s="45"/>
    </row>
    <row r="984" customHeight="1" spans="1:12">
      <c r="A984" s="45"/>
      <c r="B984" s="60"/>
      <c r="D984" s="44"/>
      <c r="G984" s="45"/>
      <c r="H984" s="45"/>
      <c r="I984" s="45"/>
      <c r="J984" s="45"/>
      <c r="K984" s="45"/>
      <c r="L984" s="45"/>
    </row>
    <row r="985" customHeight="1" spans="1:12">
      <c r="A985" s="45"/>
      <c r="B985" s="60"/>
      <c r="D985" s="44"/>
      <c r="G985" s="45"/>
      <c r="H985" s="45"/>
      <c r="I985" s="45"/>
      <c r="J985" s="45"/>
      <c r="K985" s="45"/>
      <c r="L985" s="45"/>
    </row>
    <row r="986" customHeight="1" spans="1:12">
      <c r="A986" s="45"/>
      <c r="B986" s="60"/>
      <c r="D986" s="44"/>
      <c r="G986" s="45"/>
      <c r="H986" s="45"/>
      <c r="I986" s="45"/>
      <c r="J986" s="45"/>
      <c r="K986" s="45"/>
      <c r="L986" s="45"/>
    </row>
    <row r="987" customHeight="1" spans="1:12">
      <c r="A987" s="45"/>
      <c r="B987" s="60"/>
      <c r="D987" s="44"/>
      <c r="G987" s="45"/>
      <c r="H987" s="45"/>
      <c r="I987" s="45"/>
      <c r="J987" s="45"/>
      <c r="K987" s="45"/>
      <c r="L987" s="45"/>
    </row>
    <row r="988" customHeight="1" spans="1:12">
      <c r="A988" s="45"/>
      <c r="B988" s="60"/>
      <c r="D988" s="44"/>
      <c r="G988" s="45"/>
      <c r="H988" s="45"/>
      <c r="I988" s="45"/>
      <c r="J988" s="45"/>
      <c r="K988" s="45"/>
      <c r="L988" s="45"/>
    </row>
    <row r="989" customHeight="1" spans="1:12">
      <c r="A989" s="45"/>
      <c r="B989" s="60"/>
      <c r="D989" s="44"/>
      <c r="G989" s="45"/>
      <c r="H989" s="45"/>
      <c r="I989" s="45"/>
      <c r="J989" s="45"/>
      <c r="K989" s="45"/>
      <c r="L989" s="45"/>
    </row>
    <row r="990" customHeight="1" spans="1:12">
      <c r="A990" s="45"/>
      <c r="B990" s="60"/>
      <c r="D990" s="44"/>
      <c r="G990" s="45"/>
      <c r="H990" s="45"/>
      <c r="I990" s="45"/>
      <c r="J990" s="45"/>
      <c r="K990" s="45"/>
      <c r="L990" s="45"/>
    </row>
    <row r="991" customHeight="1" spans="1:12">
      <c r="A991" s="45"/>
      <c r="B991" s="60"/>
      <c r="D991" s="44"/>
      <c r="G991" s="45"/>
      <c r="H991" s="45"/>
      <c r="I991" s="45"/>
      <c r="J991" s="45"/>
      <c r="K991" s="45"/>
      <c r="L991" s="45"/>
    </row>
    <row r="992" customHeight="1" spans="1:12">
      <c r="A992" s="45"/>
      <c r="B992" s="60"/>
      <c r="D992" s="44"/>
      <c r="G992" s="45"/>
      <c r="H992" s="45"/>
      <c r="I992" s="45"/>
      <c r="J992" s="45"/>
      <c r="K992" s="45"/>
      <c r="L992" s="45"/>
    </row>
    <row r="993" customHeight="1" spans="1:12">
      <c r="A993" s="45"/>
      <c r="B993" s="60"/>
      <c r="D993" s="44"/>
      <c r="G993" s="45"/>
      <c r="H993" s="45"/>
      <c r="I993" s="45"/>
      <c r="J993" s="45"/>
      <c r="K993" s="45"/>
      <c r="L993" s="45"/>
    </row>
    <row r="994" customHeight="1" spans="1:12">
      <c r="A994" s="45"/>
      <c r="B994" s="60"/>
      <c r="D994" s="44"/>
      <c r="G994" s="45"/>
      <c r="H994" s="45"/>
      <c r="I994" s="45"/>
      <c r="J994" s="45"/>
      <c r="K994" s="45"/>
      <c r="L994" s="45"/>
    </row>
    <row r="995" customHeight="1" spans="1:12">
      <c r="A995" s="45"/>
      <c r="B995" s="60"/>
      <c r="D995" s="44"/>
      <c r="G995" s="45"/>
      <c r="H995" s="45"/>
      <c r="I995" s="45"/>
      <c r="J995" s="45"/>
      <c r="K995" s="45"/>
      <c r="L995" s="45"/>
    </row>
    <row r="996" customHeight="1" spans="1:12">
      <c r="A996" s="45"/>
      <c r="B996" s="60"/>
      <c r="D996" s="44"/>
      <c r="G996" s="45"/>
      <c r="H996" s="45"/>
      <c r="I996" s="45"/>
      <c r="J996" s="45"/>
      <c r="K996" s="45"/>
      <c r="L996" s="45"/>
    </row>
    <row r="997" customHeight="1" spans="1:12">
      <c r="A997" s="45"/>
      <c r="B997" s="60"/>
      <c r="D997" s="44"/>
      <c r="G997" s="45"/>
      <c r="H997" s="45"/>
      <c r="I997" s="45"/>
      <c r="J997" s="45"/>
      <c r="K997" s="45"/>
      <c r="L997" s="45"/>
    </row>
    <row r="998" customHeight="1" spans="1:12">
      <c r="A998" s="45"/>
      <c r="B998" s="60"/>
      <c r="D998" s="44"/>
      <c r="G998" s="45"/>
      <c r="H998" s="45"/>
      <c r="I998" s="45"/>
      <c r="J998" s="45"/>
      <c r="K998" s="45"/>
      <c r="L998" s="45"/>
    </row>
    <row r="999" customHeight="1" spans="1:12">
      <c r="A999" s="45"/>
      <c r="B999" s="60"/>
      <c r="D999" s="44"/>
      <c r="G999" s="45"/>
      <c r="H999" s="45"/>
      <c r="I999" s="45"/>
      <c r="J999" s="45"/>
      <c r="K999" s="45"/>
      <c r="L999" s="45"/>
    </row>
    <row r="1000" customHeight="1" spans="1:12">
      <c r="A1000" s="45"/>
      <c r="B1000" s="60"/>
      <c r="D1000" s="44"/>
      <c r="G1000" s="45"/>
      <c r="H1000" s="45"/>
      <c r="I1000" s="45"/>
      <c r="J1000" s="45"/>
      <c r="K1000" s="45"/>
      <c r="L1000" s="45"/>
    </row>
    <row r="1001" customHeight="1" spans="1:12">
      <c r="A1001" s="45"/>
      <c r="B1001" s="60"/>
      <c r="D1001" s="44"/>
      <c r="G1001" s="45"/>
      <c r="H1001" s="45"/>
      <c r="I1001" s="45"/>
      <c r="J1001" s="45"/>
      <c r="K1001" s="45"/>
      <c r="L1001" s="45"/>
    </row>
    <row r="1002" customHeight="1" spans="1:12">
      <c r="A1002" s="45"/>
      <c r="B1002" s="60"/>
      <c r="D1002" s="44"/>
      <c r="G1002" s="45"/>
      <c r="H1002" s="45"/>
      <c r="I1002" s="45"/>
      <c r="J1002" s="45"/>
      <c r="K1002" s="45"/>
      <c r="L1002" s="45"/>
    </row>
    <row r="1003" customHeight="1" spans="1:12">
      <c r="A1003" s="45"/>
      <c r="B1003" s="60"/>
      <c r="D1003" s="44"/>
      <c r="G1003" s="45"/>
      <c r="H1003" s="45"/>
      <c r="I1003" s="45"/>
      <c r="J1003" s="45"/>
      <c r="K1003" s="45"/>
      <c r="L1003" s="45"/>
    </row>
    <row r="1004" customHeight="1" spans="4:4">
      <c r="D1004" s="44"/>
    </row>
  </sheetData>
  <autoFilter xmlns:etc="http://www.wps.cn/officeDocument/2017/etCustomData" ref="A1:AH156" etc:filterBottomFollowUsedRange="0">
    <extLst/>
  </autoFilter>
  <dataValidations count="1">
    <dataValidation type="list" allowBlank="1" showErrorMessage="1" sqref="B2:B1003">
      <formula1>Country</formula1>
    </dataValidation>
  </dataValidations>
  <hyperlinks>
    <hyperlink ref="A2" r:id="rId1" display="Bahay Kubo Housing Association"/>
    <hyperlink ref="A3" r:id="rId2" display="Batangas Association UK"/>
    <hyperlink ref="A4" r:id="rId3" display="Benguet Organisation UK"/>
    <hyperlink ref="A5" r:id="rId4" display="Berkshire Filipino-British Association"/>
    <hyperlink ref="A6" r:id="rId5" display="Bordon Filipino Community Association"/>
    <hyperlink ref="A7" r:id="rId6" display="Caviteños UK"/>
    <hyperlink ref="A8" r:id="rId7" display="Creativehearts united UK"/>
    <hyperlink ref="A9" r:id="rId8" display="Fil-Brits Community in Dorset"/>
    <hyperlink ref="A10" r:id="rId9" display="Filipino Anglo Club of Greater Manchester"/>
    <hyperlink ref="A11" r:id="rId10" display="Filipino Association of Birmingham"/>
    <hyperlink ref="A12" r:id="rId11" display="Filipino Association of Southampton"/>
    <hyperlink ref="A13" r:id="rId12" display="Filipino Community in Bath"/>
    <hyperlink ref="A14" r:id="rId13" display="Filipino Community in Cardiff"/>
    <hyperlink ref="A15" r:id="rId14" display="Filipino Community of Manchester and Cheshire"/>
    <hyperlink ref="A16" r:id="rId15" display="Filipino Domestic Workers’ Association UK"/>
    <hyperlink ref="A17" r:id="rId16" display="Filipino Nurses Association UK CIC"/>
    <hyperlink ref="A18" r:id="rId17" display="Filipino UK Nurses Community"/>
    <hyperlink ref="A19" r:id="rId18" display="Filipino Unite"/>
    <hyperlink ref="A20" r:id="rId19" display="Filipino Women’s Association UK"/>
    <hyperlink ref="A21" r:id="rId20" display="Filipinos in Scotland"/>
    <hyperlink ref="A22" r:id="rId21" display="Haraya Choir"/>
    <hyperlink ref="A23" r:id="rId22" display="Igorot UK"/>
    <hyperlink ref="A24" r:id="rId23" display="Kalayaan"/>
    <hyperlink ref="A25" r:id="rId24" display="Kanlungan Filipino Consortium"/>
    <hyperlink ref="A26" r:id="rId25" display="KCL Filipino Society"/>
    <hyperlink ref="L26" r:id="rId25" display="KCL Filipino Society"/>
    <hyperlink ref="A27" r:id="rId26" display="Group by KCL Filipino Society"/>
    <hyperlink ref="A28" r:id="rId27" display="KCL Filipino Society"/>
    <hyperlink ref="A30" r:id="rId28" display="Philippine Centre"/>
    <hyperlink ref="A31" r:id="rId29" display="Philippine Nurses Association UK"/>
    <hyperlink ref="A32" r:id="rId30" display="Philippine Theatre UK"/>
    <hyperlink ref="A33" r:id="rId31" display="Ryde Filipino Group Isle of Wight"/>
    <hyperlink ref="A34" r:id="rId32" display="Sampayan Atbp."/>
    <hyperlink ref="A39" r:id="rId33" display="British Filipino Forum"/>
    <hyperlink ref="A40" r:id="rId34" display="US-Philippines Society"/>
    <hyperlink ref="L51" r:id="rId35" display="FACEBOOK.COM/GROUPS/89505614391"/>
    <hyperlink ref="L59" r:id="rId36" display="https://www.facebook.com/FYLPRO"/>
    <hyperlink ref="L60" r:id="rId37" display="https://www.facebook.com/groups/133927293300255"/>
    <hyperlink ref="L64" r:id="rId38" display="https://www.facebook.com/MISS-TEEN-Philippines-America-by-ISA-103663363108260"/>
    <hyperlink ref="L66" r:id="rId39" display="https://www.facebook.com/KatipunanMD"/>
    <hyperlink ref="L67" r:id="rId40" display="https://www.facebook.com/groups/307166396029188"/>
    <hyperlink ref="L68" r:id="rId41" display="https://www.facebook.com/MACAInc"/>
    <hyperlink ref="L75" r:id="rId42" display="https://www.facebook.com/TheFilipinoScientist"/>
    <hyperlink ref="L76" r:id="rId43" display="https://www.facebook.com/paccdc"/>
    <hyperlink ref="L79" r:id="rId44" display="https://www.facebook.com/Philippine-Cultural-Foundation-Inc-121124187441/"/>
    <hyperlink ref="L82" r:id="rId45" display="https://www.facebook.com/groups/2075754849370441/?ref=share"/>
    <hyperlink ref="L83" r:id="rId46" display="https://www.facebook.com/groups/277660239104120"/>
    <hyperlink ref="L85" r:id="rId47" display="https://www.facebook.com/pnamdc"/>
    <hyperlink ref="L97" r:id="rId48" display="https://www.pusofoundation.org/"/>
    <hyperlink ref="L98" r:id="rId49" display="http://www.upaadcmdva.org/"/>
    <hyperlink ref="L102" r:id="rId50" display="uniffiedmd.com"/>
    <hyperlink ref="L103" r:id="rId51" display="www.mmomusa.org"/>
    <hyperlink ref="L104" r:id="rId52" display="www.filamcag.org"/>
    <hyperlink ref="L105" r:id="rId53" display="www.burudungshelpinghand.org"/>
    <hyperlink ref="L107" r:id="rId54" display="www.ancopusa.org"/>
    <hyperlink ref="L111" r:id="rId55" display="www.gk-usa.org"/>
    <hyperlink ref="L112" r:id="rId56" display="https://www.pamanainc.org/"/>
    <hyperlink ref="L113" r:id="rId57" display="www.lindabenfoundation.org"/>
    <hyperlink ref="L114" r:id="rId58" display="https://www.humana.com/aoa/1897819"/>
    <hyperlink ref="L115" r:id="rId59" display="Fccofcharleston.com"/>
    <hyperlink ref="L117" r:id="rId60" display="www.makabayangeorgia.org"/>
    <hyperlink ref="L121" r:id="rId59" display="FCCofcharleston.com"/>
    <hyperlink ref="L122" r:id="rId61" display="filamcancercare.org"/>
    <hyperlink ref="L124" r:id="rId62" display="https://filamsc.org/"/>
    <hyperlink ref="L128" r:id="rId63" display="www.bcbpnyc.com/washington-main.html"/>
    <hyperlink ref="L132" r:id="rId64" display="https://phcdc.net"/>
    <hyperlink ref="L134" r:id="rId65" display="ateneodc.org"/>
    <hyperlink ref="L139" r:id="rId66" display="www.filipinawomensnetwork.org"/>
    <hyperlink ref="L142" r:id="rId67" display="https://www.pgbiguardiansonline.net/organization/overseas-chapters/cayman-islands/"/>
    <hyperlink ref="L145" r:id="rId68" display="www.hudyakasadmv.org"/>
    <hyperlink ref="L147" r:id="rId69" display="www.filamjaxchamber.org"/>
    <hyperlink ref="L148" r:id="rId70" display="www.paswpb.org"/>
    <hyperlink ref="L149" r:id="rId71" display="filamsociety.org"/>
    <hyperlink ref="L150" r:id="rId72" display="https://theruthsembranofoundation.org/"/>
    <hyperlink ref="L151" r:id="rId73" display="https://youtube.com/@sintadancecrew"/>
    <hyperlink ref="L152" r:id="rId74" display="pisayian.org"/>
    <hyperlink ref="L153" r:id="rId70" display="www.paswpb.org"/>
    <hyperlink ref="L154" r:id="rId75" display="https://www.pametmidatlantic.org/"/>
    <hyperlink ref="L156" r:id="rId76" display="https://newyorkpcg.org/pcgny/culture-community/fil-am-community-directory/"/>
    <hyperlink ref="J165" r:id="rId77" display="www.cebuinc.org"/>
    <hyperlink ref="J166" r:id="rId78" display="chsnaf.org"/>
    <hyperlink ref="J173" r:id="rId79" display="https://fiestainamerica.com/"/>
    <hyperlink ref="J178" r:id="rId80" display="faacnj.org"/>
    <hyperlink ref="J180" r:id="rId81" display="https://www.faaeinc.org"/>
    <hyperlink ref="J183" r:id="rId82" display="www.fcnnef.org"/>
    <hyperlink ref="J186" r:id="rId83" display="https://filamvt802.wixsite.com/filiamcomunityvt"/>
    <hyperlink ref="J188" r:id="rId84" display="http://www.handangtumulong.org/"/>
    <hyperlink ref="J193" r:id="rId85" display="http://www.philnyjaycees.org/"/>
    <hyperlink ref="J196" r:id="rId86" display="http://www.kindingsindaw.org/"/>
    <hyperlink ref="J211" r:id="rId87" display="https://www.facebook.com/paccal.org"/>
    <hyperlink ref="J213" r:id="rId88" display="www.pafcomnj.org"/>
    <hyperlink ref="J216" r:id="rId89" display="http://www.pidci.org/"/>
    <hyperlink ref="J217" r:id="rId90" display="http://www.pnanewyork.org/"/>
    <hyperlink ref="J221" r:id="rId91" display="https://pfay.org/"/>
    <hyperlink ref="J222" r:id="rId92" display="filamvet.org"/>
    <hyperlink ref="J228" r:id="rId93" display="https://sipagny.org/"/>
    <hyperlink ref="J231" r:id="rId94" display="www.sanpablocityassociation.org"/>
    <hyperlink ref="J233" r:id="rId95" display="https://filschool-nynj.org/"/>
    <hyperlink ref="J236" r:id="rId96" display="www.uniffiednj.org"/>
    <hyperlink ref="A242" r:id="rId97" display="Pinoys in Germany Forum"/>
    <hyperlink ref="L242" r:id="rId97" display="Pinoys in Germany Forum"/>
    <hyperlink ref="L251" r:id="rId98" display="Facebook: https://www.facebook.com/Babaylan-Germany-The-Philippine-Womens-Network-in-Europe-428739363858671/"/>
    <hyperlink ref="L253" r:id="rId99" display="Facebook: https://www.facebook.com/ENFiDGermany&#10;Twitter: @EnfidGermany"/>
    <hyperlink ref="L254" r:id="rId100" display="Facebook: https://www.facebook.com/groups/148618511505/?ref=share"/>
    <hyperlink ref="L258" r:id="rId101" display="Facebook: https://de-de.facebook.com/luvimin.3islands/"/>
    <hyperlink ref="L259" r:id="rId102" display="Facebook: https://www.facebook.com/msghamburg"/>
    <hyperlink ref="L260" r:id="rId103" display="Facebook: https://www.facebook.com/Philippine-Ylang-Ylang-e-V-140532936643618"/>
    <hyperlink ref="L261" r:id="rId104" display="Facebook: https://www.facebook.com/PhilippinischDeutscherVereinNordschwarzwald1994Ev/"/>
    <hyperlink ref="L262" r:id="rId105" display="Facebook: https://www.facebook.com/groups/silliman.germanyeurope/&#10;(Members only)"/>
    <hyperlink ref="L263" r:id="rId106" display="Facebook: https://www.facebook.com/groups/studyandworkingermanyforfilipinos"/>
    <hyperlink ref="L264" r:id="rId107" display="Facebook: https://www.facebook.com/groups/filipinosingermany"/>
    <hyperlink ref="G266" r:id="rId108" display="Ms. Mae Torres (Chair)&#10;Amselweg 1&#10;24222 Schwentinental&#10;Telephone 0151-43251012 (Mae Torres)e-mail: mae.kuberka@t-online.de&#10;or 0151-20712677 (Sven-Thorsten Ihde)"/>
    <hyperlink ref="G267" r:id="rId109" display="Ms. Joanna Tscharntke (Vice President)&#10;Tel: 0731 97749447&#10;Mobile: 0173 6622875&#10;E-mail: joanna.tscharntke@gmail.com"/>
    <hyperlink ref="L267" r:id="rId110" display="Instagram: www.instagram.com/filipinos_in_ulm"/>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7"/>
  <sheetViews>
    <sheetView workbookViewId="0">
      <pane ySplit="1" topLeftCell="A2" activePane="bottomLeft" state="frozen"/>
      <selection/>
      <selection pane="bottomLeft" activeCell="B3" sqref="B3"/>
    </sheetView>
  </sheetViews>
  <sheetFormatPr defaultColWidth="12.6272727272727" defaultRowHeight="15.75" customHeight="1" outlineLevelRow="6"/>
  <cols>
    <col min="1" max="1" width="25.8818181818182" customWidth="1"/>
    <col min="2" max="2" width="28" customWidth="1"/>
  </cols>
  <sheetData>
    <row r="1" customHeight="1" spans="1:26">
      <c r="A1" s="35" t="s">
        <v>1303</v>
      </c>
      <c r="B1" s="35" t="s">
        <v>1304</v>
      </c>
      <c r="C1" s="35" t="s">
        <v>742</v>
      </c>
      <c r="D1" s="36"/>
      <c r="E1" s="36"/>
      <c r="F1" s="36"/>
      <c r="G1" s="36"/>
      <c r="H1" s="36"/>
      <c r="I1" s="36"/>
      <c r="J1" s="36"/>
      <c r="K1" s="36"/>
      <c r="L1" s="36"/>
      <c r="M1" s="36"/>
      <c r="N1" s="36"/>
      <c r="O1" s="36"/>
      <c r="P1" s="36"/>
      <c r="Q1" s="36"/>
      <c r="R1" s="36"/>
      <c r="S1" s="36"/>
      <c r="T1" s="36"/>
      <c r="U1" s="36"/>
      <c r="V1" s="36"/>
      <c r="W1" s="36"/>
      <c r="X1" s="36"/>
      <c r="Y1" s="36"/>
      <c r="Z1" s="36"/>
    </row>
    <row r="2" customHeight="1" spans="1:2">
      <c r="A2" s="9" t="s">
        <v>1305</v>
      </c>
      <c r="B2" s="37" t="s">
        <v>1306</v>
      </c>
    </row>
    <row r="3" customHeight="1" spans="1:2">
      <c r="A3" s="9" t="s">
        <v>1307</v>
      </c>
      <c r="B3" s="37" t="s">
        <v>1308</v>
      </c>
    </row>
    <row r="4" customHeight="1" spans="1:1">
      <c r="A4" s="38" t="s">
        <v>1309</v>
      </c>
    </row>
    <row r="5" customHeight="1" spans="1:1">
      <c r="A5" s="38" t="s">
        <v>1309</v>
      </c>
    </row>
    <row r="6" customHeight="1" spans="1:1">
      <c r="A6" s="39" t="s">
        <v>1310</v>
      </c>
    </row>
    <row r="7" customHeight="1" spans="1:3">
      <c r="A7" s="37" t="s">
        <v>1311</v>
      </c>
      <c r="C7" s="9" t="s">
        <v>1312</v>
      </c>
    </row>
  </sheetData>
  <hyperlinks>
    <hyperlink ref="B2" r:id="rId1" display="https://list.juwai.com/"/>
    <hyperlink ref="B3" r:id="rId2" display="https://esalesinternational.com/sell-property-the-philippines/"/>
    <hyperlink ref="A7" r:id="rId3" display="Expat.com"/>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2"/>
  <sheetViews>
    <sheetView workbookViewId="0">
      <selection activeCell="A1" sqref="A1:B1"/>
    </sheetView>
  </sheetViews>
  <sheetFormatPr defaultColWidth="12.6272727272727" defaultRowHeight="15.75" customHeight="1" outlineLevelCol="1"/>
  <sheetData>
    <row r="1" customHeight="1" spans="1:2">
      <c r="A1" s="30" t="s">
        <v>1313</v>
      </c>
      <c r="B1" s="31"/>
    </row>
    <row r="2" customHeight="1" spans="1:2">
      <c r="A2" s="32" t="s">
        <v>1314</v>
      </c>
      <c r="B2" s="31"/>
    </row>
    <row r="3" customHeight="1" spans="1:2">
      <c r="A3" s="33" t="s">
        <v>1315</v>
      </c>
      <c r="B3" s="34" t="s">
        <v>1316</v>
      </c>
    </row>
    <row r="4" customHeight="1" spans="1:2">
      <c r="A4" s="33" t="s">
        <v>1317</v>
      </c>
      <c r="B4" s="34" t="s">
        <v>1318</v>
      </c>
    </row>
    <row r="5" customHeight="1" spans="1:2">
      <c r="A5" s="33" t="s">
        <v>1319</v>
      </c>
      <c r="B5" s="34" t="s">
        <v>1320</v>
      </c>
    </row>
    <row r="6" customHeight="1" spans="1:2">
      <c r="A6" s="33" t="s">
        <v>1321</v>
      </c>
      <c r="B6" s="34" t="s">
        <v>1322</v>
      </c>
    </row>
    <row r="7" customHeight="1" spans="1:2">
      <c r="A7" s="33" t="s">
        <v>1323</v>
      </c>
      <c r="B7" s="34" t="s">
        <v>1324</v>
      </c>
    </row>
    <row r="8" customHeight="1" spans="1:2">
      <c r="A8" s="33" t="s">
        <v>1325</v>
      </c>
      <c r="B8" s="34" t="s">
        <v>1326</v>
      </c>
    </row>
    <row r="9" customHeight="1" spans="1:2">
      <c r="A9" s="33" t="s">
        <v>1327</v>
      </c>
      <c r="B9" s="34" t="s">
        <v>1328</v>
      </c>
    </row>
    <row r="10" customHeight="1" spans="1:2">
      <c r="A10" s="33" t="s">
        <v>1329</v>
      </c>
      <c r="B10" s="34" t="s">
        <v>1330</v>
      </c>
    </row>
    <row r="11" customHeight="1" spans="1:2">
      <c r="A11" s="33" t="s">
        <v>1331</v>
      </c>
      <c r="B11" s="34" t="s">
        <v>1332</v>
      </c>
    </row>
    <row r="12" customHeight="1" spans="1:2">
      <c r="A12" s="33" t="s">
        <v>1333</v>
      </c>
      <c r="B12" s="34" t="s">
        <v>1334</v>
      </c>
    </row>
  </sheetData>
  <mergeCells count="2">
    <mergeCell ref="A1:B1"/>
    <mergeCell ref="A2:B2"/>
  </mergeCells>
  <hyperlinks>
    <hyperlink ref="A2" r:id="rId1" location="Population_concentrations" display="Western United States, Hawaii, especially in metropolitan areas and elsewhere as of 2010"/>
    <hyperlink ref="A3" r:id="rId2" display="California"/>
    <hyperlink ref="B3" r:id="rId3" location="cite_note-usa.inquirer.net-2" display="1,651,933[2]"/>
    <hyperlink ref="A4" r:id="rId4" display="Hawaii"/>
    <hyperlink ref="B4" r:id="rId3" location="cite_note-usa.inquirer.net-2" display="367,364[2]"/>
    <hyperlink ref="A5" r:id="rId5" display="Texas"/>
    <hyperlink ref="B5" r:id="rId3" location="cite_note-usa.inquirer.net-2" display="194,427[2]"/>
    <hyperlink ref="A6" r:id="rId6" display="Washington"/>
    <hyperlink ref="B6" r:id="rId3" location="cite_note-usa.inquirer.net-2" display="178,300[2]"/>
    <hyperlink ref="A7" r:id="rId7" display="Nevada"/>
    <hyperlink ref="B7" r:id="rId3" location="cite_note-usa.inquirer.net-2" display="169,462[2]"/>
    <hyperlink ref="A8" r:id="rId8" display="Illinois"/>
    <hyperlink ref="B8" r:id="rId3" location="cite_note-usa.inquirer.net-2" display="159,385[2]"/>
    <hyperlink ref="A9" r:id="rId9" display="New York"/>
    <hyperlink ref="B9" r:id="rId3" location="cite_note-usa.inquirer.net-2" display="144,436[2]"/>
    <hyperlink ref="A10" r:id="rId10" display="Florida"/>
    <hyperlink ref="B10" r:id="rId3" location="cite_note-usa.inquirer.net-2" display="143,481[2]"/>
    <hyperlink ref="A11" r:id="rId11" display="New Jersey"/>
    <hyperlink ref="B11" r:id="rId3" location="cite_note-usa.inquirer.net-2" display="129,514[2]"/>
    <hyperlink ref="A12" r:id="rId12" display="Virginia"/>
    <hyperlink ref="B12" r:id="rId3" location="cite_note-usa.inquirer.net-2" display="108,128[2]"/>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O11"/>
  <sheetViews>
    <sheetView workbookViewId="0">
      <selection activeCell="A1" sqref="A1"/>
    </sheetView>
  </sheetViews>
  <sheetFormatPr defaultColWidth="12.6272727272727" defaultRowHeight="15.75" customHeight="1"/>
  <sheetData>
    <row r="1" customHeight="1" spans="1:41">
      <c r="A1" s="1" t="s">
        <v>681</v>
      </c>
      <c r="B1" s="2" t="s">
        <v>1</v>
      </c>
      <c r="C1" s="2" t="s">
        <v>2</v>
      </c>
      <c r="D1" s="2" t="s">
        <v>3</v>
      </c>
      <c r="E1" s="3" t="s">
        <v>4</v>
      </c>
      <c r="F1" s="4" t="s">
        <v>6</v>
      </c>
      <c r="G1" s="4" t="s">
        <v>7</v>
      </c>
      <c r="H1" s="2" t="s">
        <v>8</v>
      </c>
      <c r="I1" s="2" t="s">
        <v>1335</v>
      </c>
      <c r="J1" s="2" t="s">
        <v>10</v>
      </c>
      <c r="K1" s="2" t="s">
        <v>541</v>
      </c>
      <c r="L1" s="4" t="s">
        <v>11</v>
      </c>
      <c r="M1" s="2" t="s">
        <v>12</v>
      </c>
      <c r="N1" s="2" t="s">
        <v>13</v>
      </c>
      <c r="O1" s="2" t="s">
        <v>15</v>
      </c>
      <c r="P1" s="2" t="s">
        <v>16</v>
      </c>
      <c r="Q1" s="2" t="s">
        <v>17</v>
      </c>
      <c r="R1" s="2" t="s">
        <v>18</v>
      </c>
      <c r="S1" s="2" t="s">
        <v>6</v>
      </c>
      <c r="T1" s="2" t="s">
        <v>20</v>
      </c>
      <c r="U1" s="17" t="s">
        <v>492</v>
      </c>
      <c r="V1" s="17" t="s">
        <v>22</v>
      </c>
      <c r="W1" s="2" t="s">
        <v>492</v>
      </c>
      <c r="X1" s="18">
        <v>45677</v>
      </c>
      <c r="Y1" s="18">
        <v>45635</v>
      </c>
      <c r="Z1" s="25">
        <v>45677</v>
      </c>
      <c r="AA1" s="18">
        <v>45673</v>
      </c>
      <c r="AB1" s="25">
        <v>45635</v>
      </c>
      <c r="AC1" s="2" t="s">
        <v>23</v>
      </c>
      <c r="AD1" s="2" t="s">
        <v>24</v>
      </c>
      <c r="AE1" s="2" t="s">
        <v>545</v>
      </c>
      <c r="AF1" s="2" t="s">
        <v>25</v>
      </c>
      <c r="AG1" s="29"/>
      <c r="AH1" s="29"/>
      <c r="AI1" s="29"/>
      <c r="AJ1" s="29"/>
      <c r="AK1" s="29"/>
      <c r="AL1" s="29"/>
      <c r="AM1" s="29"/>
      <c r="AN1" s="29"/>
      <c r="AO1" s="29"/>
    </row>
    <row r="2" customHeight="1" spans="1:41">
      <c r="A2" s="5" t="s">
        <v>114</v>
      </c>
      <c r="B2" s="6" t="s">
        <v>34</v>
      </c>
      <c r="C2" s="5" t="s">
        <v>61</v>
      </c>
      <c r="D2" s="7" t="s">
        <v>28</v>
      </c>
      <c r="E2" s="8" t="s">
        <v>115</v>
      </c>
      <c r="F2" s="5"/>
      <c r="G2" s="5">
        <v>2</v>
      </c>
      <c r="H2" s="8" t="s">
        <v>117</v>
      </c>
      <c r="I2" s="8"/>
      <c r="J2" s="8" t="s">
        <v>633</v>
      </c>
      <c r="K2" s="8"/>
      <c r="L2" s="7"/>
      <c r="M2" s="8"/>
      <c r="N2" s="8"/>
      <c r="O2" s="8"/>
      <c r="P2" s="8"/>
      <c r="Q2" s="8"/>
      <c r="R2" s="7"/>
      <c r="S2" s="8" t="s">
        <v>119</v>
      </c>
      <c r="T2" s="8"/>
      <c r="U2" s="19"/>
      <c r="V2" s="19"/>
      <c r="W2" s="20">
        <v>45547</v>
      </c>
      <c r="X2" s="12"/>
      <c r="Y2" s="26" t="s">
        <v>37</v>
      </c>
      <c r="Z2" s="8"/>
      <c r="AA2" s="8" t="s">
        <v>120</v>
      </c>
      <c r="AB2" s="8" t="s">
        <v>37</v>
      </c>
      <c r="AC2" s="7"/>
      <c r="AD2" s="7"/>
      <c r="AE2" s="7"/>
      <c r="AF2" s="7"/>
      <c r="AG2" s="7"/>
      <c r="AH2" s="7"/>
      <c r="AI2" s="7"/>
      <c r="AJ2" s="7"/>
      <c r="AK2" s="7"/>
      <c r="AL2" s="7"/>
      <c r="AM2" s="7"/>
      <c r="AN2" s="7"/>
      <c r="AO2" s="7"/>
    </row>
    <row r="3" customHeight="1" spans="1:7">
      <c r="A3" s="9" t="s">
        <v>1336</v>
      </c>
      <c r="G3" s="9">
        <v>1</v>
      </c>
    </row>
    <row r="4" customHeight="1" spans="1:6">
      <c r="A4" s="9" t="s">
        <v>1337</v>
      </c>
      <c r="F4" s="9" t="s">
        <v>1338</v>
      </c>
    </row>
    <row r="5" customHeight="1" spans="1:41">
      <c r="A5" s="8" t="s">
        <v>405</v>
      </c>
      <c r="B5" s="6" t="s">
        <v>31</v>
      </c>
      <c r="C5" s="2" t="s">
        <v>61</v>
      </c>
      <c r="D5" s="6" t="s">
        <v>28</v>
      </c>
      <c r="E5" s="8" t="s">
        <v>115</v>
      </c>
      <c r="F5" s="10" t="s">
        <v>406</v>
      </c>
      <c r="G5" s="11"/>
      <c r="H5" s="12"/>
      <c r="I5" s="12"/>
      <c r="J5" s="12"/>
      <c r="K5" s="12"/>
      <c r="L5" s="12"/>
      <c r="M5" s="12"/>
      <c r="N5" s="12"/>
      <c r="O5" s="15" t="s">
        <v>407</v>
      </c>
      <c r="P5" s="15" t="s">
        <v>407</v>
      </c>
      <c r="Q5" s="12"/>
      <c r="R5" s="12"/>
      <c r="S5" s="12"/>
      <c r="T5" s="12"/>
      <c r="U5" s="21"/>
      <c r="V5" s="21"/>
      <c r="W5" s="11"/>
      <c r="X5" s="12"/>
      <c r="Y5" s="11"/>
      <c r="Z5" s="12"/>
      <c r="AA5" s="12"/>
      <c r="AB5" s="12"/>
      <c r="AC5" s="11"/>
      <c r="AD5" s="12"/>
      <c r="AE5" s="12"/>
      <c r="AF5" s="12"/>
      <c r="AG5" s="12"/>
      <c r="AH5" s="12"/>
      <c r="AI5" s="12"/>
      <c r="AJ5" s="12"/>
      <c r="AK5" s="12"/>
      <c r="AL5" s="12"/>
      <c r="AM5" s="12"/>
      <c r="AN5" s="12"/>
      <c r="AO5" s="12"/>
    </row>
    <row r="6" customHeight="1" spans="1:41">
      <c r="A6" s="8" t="s">
        <v>648</v>
      </c>
      <c r="B6" s="6" t="s">
        <v>34</v>
      </c>
      <c r="C6" s="2" t="s">
        <v>61</v>
      </c>
      <c r="D6" s="6" t="s">
        <v>28</v>
      </c>
      <c r="E6" s="8" t="s">
        <v>115</v>
      </c>
      <c r="F6" s="12"/>
      <c r="G6" s="10">
        <v>1</v>
      </c>
      <c r="H6" s="12"/>
      <c r="I6" s="12"/>
      <c r="J6" s="6" t="s">
        <v>480</v>
      </c>
      <c r="K6" s="12"/>
      <c r="L6" s="12"/>
      <c r="M6" s="2" t="s">
        <v>481</v>
      </c>
      <c r="N6" s="12"/>
      <c r="O6" s="15" t="s">
        <v>482</v>
      </c>
      <c r="P6" s="15" t="s">
        <v>482</v>
      </c>
      <c r="Q6" s="12"/>
      <c r="R6" s="22"/>
      <c r="S6" s="12"/>
      <c r="T6" s="12"/>
      <c r="U6" s="21"/>
      <c r="V6" s="21"/>
      <c r="W6" s="11"/>
      <c r="X6" s="12"/>
      <c r="Y6" s="11"/>
      <c r="Z6" s="12"/>
      <c r="AA6" s="2" t="s">
        <v>37</v>
      </c>
      <c r="AB6" s="12"/>
      <c r="AC6" s="12"/>
      <c r="AD6" s="27"/>
      <c r="AE6" s="12"/>
      <c r="AF6" s="12"/>
      <c r="AG6" s="12"/>
      <c r="AH6" s="12"/>
      <c r="AI6" s="12"/>
      <c r="AJ6" s="12"/>
      <c r="AK6" s="12"/>
      <c r="AL6" s="12"/>
      <c r="AM6" s="12"/>
      <c r="AN6" s="12"/>
      <c r="AO6" s="12"/>
    </row>
    <row r="7" customHeight="1" spans="1:41">
      <c r="A7" s="3" t="s">
        <v>339</v>
      </c>
      <c r="B7" s="6" t="s">
        <v>34</v>
      </c>
      <c r="C7" s="2" t="s">
        <v>35</v>
      </c>
      <c r="D7" s="2" t="s">
        <v>98</v>
      </c>
      <c r="E7" s="3" t="s">
        <v>115</v>
      </c>
      <c r="F7" s="12"/>
      <c r="G7" s="13">
        <v>1</v>
      </c>
      <c r="H7" s="3" t="s">
        <v>340</v>
      </c>
      <c r="I7" s="12"/>
      <c r="J7" s="2" t="s">
        <v>341</v>
      </c>
      <c r="K7" s="12"/>
      <c r="L7" s="12"/>
      <c r="M7" s="12"/>
      <c r="N7" s="12"/>
      <c r="O7" s="16" t="s">
        <v>342</v>
      </c>
      <c r="P7" s="16" t="s">
        <v>342</v>
      </c>
      <c r="Q7" s="12"/>
      <c r="R7" s="12"/>
      <c r="S7" s="2" t="s">
        <v>343</v>
      </c>
      <c r="T7" s="12"/>
      <c r="U7" s="21"/>
      <c r="V7" s="23" t="s">
        <v>344</v>
      </c>
      <c r="W7" s="11"/>
      <c r="X7" s="24"/>
      <c r="Y7" s="11"/>
      <c r="Z7" s="12"/>
      <c r="AA7" s="28" t="s">
        <v>319</v>
      </c>
      <c r="AB7" s="12"/>
      <c r="AC7" s="12"/>
      <c r="AD7" s="12"/>
      <c r="AE7" s="12"/>
      <c r="AF7" s="12"/>
      <c r="AG7" s="12"/>
      <c r="AH7" s="12"/>
      <c r="AI7" s="12"/>
      <c r="AJ7" s="12"/>
      <c r="AK7" s="12"/>
      <c r="AL7" s="12"/>
      <c r="AM7" s="12"/>
      <c r="AN7" s="12"/>
      <c r="AO7" s="12"/>
    </row>
    <row r="8" customHeight="1" spans="1:41">
      <c r="A8" s="8" t="s">
        <v>279</v>
      </c>
      <c r="B8" s="6" t="s">
        <v>34</v>
      </c>
      <c r="C8" s="8" t="s">
        <v>61</v>
      </c>
      <c r="D8" s="8" t="s">
        <v>98</v>
      </c>
      <c r="E8" s="14" t="s">
        <v>88</v>
      </c>
      <c r="F8" s="12"/>
      <c r="G8" s="10">
        <v>1</v>
      </c>
      <c r="H8" s="12"/>
      <c r="I8" s="12"/>
      <c r="J8" s="12"/>
      <c r="K8" s="12"/>
      <c r="L8" s="12"/>
      <c r="M8" s="12"/>
      <c r="N8" s="12"/>
      <c r="O8" s="12"/>
      <c r="P8" s="8" t="s">
        <v>281</v>
      </c>
      <c r="Q8" s="12"/>
      <c r="R8" s="12"/>
      <c r="S8" s="8" t="s">
        <v>282</v>
      </c>
      <c r="T8" s="12"/>
      <c r="U8" s="21"/>
      <c r="V8" s="21"/>
      <c r="W8" s="11"/>
      <c r="X8" s="12"/>
      <c r="Y8" s="11"/>
      <c r="Z8" s="12"/>
      <c r="AA8" s="12"/>
      <c r="AB8" s="12"/>
      <c r="AC8" s="12"/>
      <c r="AD8" s="12"/>
      <c r="AE8" s="12"/>
      <c r="AF8" s="12"/>
      <c r="AG8" s="12"/>
      <c r="AH8" s="12"/>
      <c r="AI8" s="12"/>
      <c r="AJ8" s="12"/>
      <c r="AK8" s="12"/>
      <c r="AL8" s="12"/>
      <c r="AM8" s="12"/>
      <c r="AN8" s="12"/>
      <c r="AO8" s="12"/>
    </row>
    <row r="9" customHeight="1" spans="1:41">
      <c r="A9" s="8" t="s">
        <v>331</v>
      </c>
      <c r="B9" s="12"/>
      <c r="C9" s="12"/>
      <c r="D9" s="12"/>
      <c r="E9" s="12"/>
      <c r="F9" s="10" t="s">
        <v>332</v>
      </c>
      <c r="G9" s="12">
        <v>3</v>
      </c>
      <c r="H9" s="12"/>
      <c r="I9" s="12"/>
      <c r="J9" s="12"/>
      <c r="K9" s="12"/>
      <c r="L9" s="12"/>
      <c r="M9" s="12"/>
      <c r="N9" s="12"/>
      <c r="O9" s="15" t="s">
        <v>333</v>
      </c>
      <c r="P9" s="15" t="s">
        <v>334</v>
      </c>
      <c r="Q9" s="12"/>
      <c r="R9" s="12"/>
      <c r="S9" s="12"/>
      <c r="T9" s="12"/>
      <c r="U9" s="21"/>
      <c r="V9" s="21"/>
      <c r="W9" s="11"/>
      <c r="X9" s="12"/>
      <c r="Y9" s="11"/>
      <c r="Z9" s="12"/>
      <c r="AA9" s="12"/>
      <c r="AB9" s="12"/>
      <c r="AC9" s="12"/>
      <c r="AD9" s="12"/>
      <c r="AE9" s="12"/>
      <c r="AF9" s="12"/>
      <c r="AG9" s="12"/>
      <c r="AH9" s="12"/>
      <c r="AI9" s="12"/>
      <c r="AJ9" s="12"/>
      <c r="AK9" s="12"/>
      <c r="AL9" s="12"/>
      <c r="AM9" s="12"/>
      <c r="AN9" s="12"/>
      <c r="AO9" s="12"/>
    </row>
    <row r="10" customHeight="1" spans="1:41">
      <c r="A10" s="8" t="s">
        <v>382</v>
      </c>
      <c r="B10" s="12"/>
      <c r="C10" s="12"/>
      <c r="D10" s="12"/>
      <c r="E10" s="12"/>
      <c r="F10" s="10" t="s">
        <v>1339</v>
      </c>
      <c r="G10" s="11"/>
      <c r="H10" s="12"/>
      <c r="I10" s="12"/>
      <c r="J10" s="6" t="s">
        <v>384</v>
      </c>
      <c r="K10" s="12"/>
      <c r="L10" s="12"/>
      <c r="M10" s="12"/>
      <c r="N10" s="12"/>
      <c r="O10" s="12"/>
      <c r="P10" s="15" t="s">
        <v>385</v>
      </c>
      <c r="Q10" s="12"/>
      <c r="R10" s="12"/>
      <c r="S10" s="12"/>
      <c r="T10" s="12"/>
      <c r="U10" s="21"/>
      <c r="V10" s="21"/>
      <c r="W10" s="11"/>
      <c r="X10" s="24"/>
      <c r="Y10" s="11"/>
      <c r="Z10" s="12"/>
      <c r="AA10" s="24"/>
      <c r="AB10" s="12"/>
      <c r="AC10" s="12"/>
      <c r="AD10" s="12"/>
      <c r="AE10" s="12"/>
      <c r="AF10" s="12"/>
      <c r="AG10" s="12"/>
      <c r="AH10" s="12"/>
      <c r="AI10" s="12"/>
      <c r="AJ10" s="12"/>
      <c r="AK10" s="12"/>
      <c r="AL10" s="12"/>
      <c r="AM10" s="12"/>
      <c r="AN10" s="12"/>
      <c r="AO10" s="12"/>
    </row>
    <row r="11" customHeight="1" spans="1:1">
      <c r="A11" s="9" t="s">
        <v>1340</v>
      </c>
    </row>
  </sheetData>
  <conditionalFormatting sqref="E2">
    <cfRule type="cellIs" dxfId="2" priority="1" operator="equal">
      <formula>"OS"</formula>
    </cfRule>
    <cfRule type="cellIs" dxfId="3" priority="2" operator="equal">
      <formula>"Contacted 1"</formula>
    </cfRule>
    <cfRule type="cellIs" dxfId="3" priority="3" operator="equal">
      <formula>"Msgd"</formula>
    </cfRule>
    <cfRule type="cellIs" dxfId="4" priority="4" operator="equal">
      <formula>"Accepted"</formula>
    </cfRule>
    <cfRule type="cellIs" dxfId="5" priority="5" operator="equal">
      <formula>"Contacted 2"</formula>
    </cfRule>
    <cfRule type="cellIs" dxfId="6" priority="6" operator="equal">
      <formula>"Msgd 2"</formula>
    </cfRule>
    <cfRule type="cellIs" dxfId="7" priority="7" operator="equal">
      <formula>"Msgd FB"</formula>
    </cfRule>
    <cfRule type="cellIs" dxfId="1" priority="8" operator="equal">
      <formula>"Trying"</formula>
    </cfRule>
    <cfRule type="cellIs" dxfId="8" priority="9" operator="equal">
      <formula>"Dead"</formula>
    </cfRule>
    <cfRule type="cellIs" dxfId="9" priority="10" operator="equal">
      <formula>"Msgd Web"</formula>
    </cfRule>
    <cfRule type="cellIs" dxfId="10" priority="11" operator="equal">
      <formula>"Phoned"</formula>
    </cfRule>
  </conditionalFormatting>
  <dataValidations count="4">
    <dataValidation type="list" allowBlank="1" showErrorMessage="1" sqref="B2 B5:B10">
      <formula1>Type</formula1>
    </dataValidation>
    <dataValidation type="list" allowBlank="1" showErrorMessage="1" sqref="C2 C5:C10">
      <formula1>Area</formula1>
    </dataValidation>
    <dataValidation type="list" allowBlank="1" showErrorMessage="1" sqref="D2 D5:D10">
      <formula1>Alias</formula1>
    </dataValidation>
    <dataValidation type="list" allowBlank="1" showErrorMessage="1" sqref="E2 E5:E10">
      <formula1>Status</formula1>
    </dataValidation>
  </dataValidations>
  <hyperlinks>
    <hyperlink ref="O5" r:id="rId1" display="https://www.messenger.com/e2ee/t/759745700083577"/>
    <hyperlink ref="P5" r:id="rId1" display="https://www.messenger.com/e2ee/t/759745700083577"/>
    <hyperlink ref="O6" r:id="rId2" display="https://www.messenger.com/e2ee/t/8060634060665609 "/>
    <hyperlink ref="P6" r:id="rId2" display="https://www.messenger.com/e2ee/t/8060634060665609 "/>
    <hyperlink ref="O7" r:id="rId3" display="https://www.facebook.com/leoluis.navarro?mibextid=ZbWKwL"/>
    <hyperlink ref="P7" r:id="rId3" display="https://www.facebook.com/leoluis.navarro?mibextid=ZbWKwL"/>
    <hyperlink ref="O9" r:id="rId4" display="https://web.facebook.com/jiar.basyo#"/>
    <hyperlink ref="P9" r:id="rId5" display="https://www.messenger.com/e2ee/t/8026314247429525"/>
    <hyperlink ref="P10" r:id="rId6" display="https://www.messenger.com/e2ee/t/995579425787702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11</vt:i4>
      </vt:variant>
    </vt:vector>
  </HeadingPairs>
  <TitlesOfParts>
    <vt:vector size="11" baseType="lpstr">
      <vt:lpstr>Resort Sale</vt:lpstr>
      <vt:lpstr>Transactions</vt:lpstr>
      <vt:lpstr>Lists</vt:lpstr>
      <vt:lpstr>Mati House</vt:lpstr>
      <vt:lpstr>Resort Sale Lamaudi</vt:lpstr>
      <vt:lpstr>Agnt Com for Res</vt:lpstr>
      <vt:lpstr>Agents Archive</vt:lpstr>
      <vt:lpstr>Filipino societies abroad</vt:lpstr>
      <vt:lpstr>Foreign Agencies</vt:lpstr>
      <vt:lpstr>US Filipino demographics</vt:lpstr>
      <vt:lpstr>Resort sale action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Terry Watts</cp:lastModifiedBy>
  <dcterms:created xsi:type="dcterms:W3CDTF">2025-09-12T18:00:00Z</dcterms:created>
  <dcterms:modified xsi:type="dcterms:W3CDTF">2025-09-12T19:40:51Z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925122793A7B4409BCBE24CA13F7DED6_12</vt:lpwstr>
  </property>
  <property fmtid="{D5CDD505-2E9C-101B-9397-08002B2CF9AE}" pid="3" name="KSOProductBuildVer">
    <vt:lpwstr>1033-12.2.0.22549</vt:lpwstr>
  </property>
</Properties>
</file>